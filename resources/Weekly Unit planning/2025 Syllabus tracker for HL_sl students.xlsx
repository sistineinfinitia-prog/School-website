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Progress" sheetId="2" r:id="rId6"/>
    <sheet state="visible" name="A1 Computer fundamentals" sheetId="3" r:id="rId7"/>
    <sheet state="visible" name="A2 Networks" sheetId="4" r:id="rId8"/>
    <sheet state="visible" name="A3 Databases" sheetId="5" r:id="rId9"/>
    <sheet state="visible" name="A4 Machine learning" sheetId="6" r:id="rId10"/>
    <sheet state="visible" name="B1 Computational thinking" sheetId="7" r:id="rId11"/>
    <sheet state="visible" name="B2 Programming" sheetId="8" r:id="rId12"/>
    <sheet state="visible" name="B3 Object-oriented programming" sheetId="9" r:id="rId13"/>
    <sheet state="visible" name="B4 Abstract data types (HL only" sheetId="10" r:id="rId14"/>
  </sheets>
  <definedNames/>
  <calcPr/>
</workbook>
</file>

<file path=xl/sharedStrings.xml><?xml version="1.0" encoding="utf-8"?>
<sst xmlns="http://schemas.openxmlformats.org/spreadsheetml/2006/main" count="487" uniqueCount="216">
  <si>
    <t xml:space="preserve">During the course it is a good idea to keep track of your progress through the course. Not only will this give you a big picture of the syllabus and how you are progressing but will also help you keep track of your undestanding of the various areas of the course. Use the links below to navigate to the various pages. </t>
  </si>
  <si>
    <t>A1 Computer fundamentals</t>
  </si>
  <si>
    <t>A2 Networks</t>
  </si>
  <si>
    <t>A3 Databases</t>
  </si>
  <si>
    <t>A4 Machine learning</t>
  </si>
  <si>
    <t>B1 Computational thinking</t>
  </si>
  <si>
    <t>B2 Programming</t>
  </si>
  <si>
    <t>B3 Object oriented programming</t>
  </si>
  <si>
    <t>Progress and understanding</t>
  </si>
  <si>
    <t>Coverage</t>
  </si>
  <si>
    <t>B3 Object-oriented programming</t>
  </si>
  <si>
    <t>B4 Abstract data types—HL only</t>
  </si>
  <si>
    <t>Overall</t>
  </si>
  <si>
    <t>Progress</t>
  </si>
  <si>
    <t>Covered in class</t>
  </si>
  <si>
    <t>Not covered in class</t>
  </si>
  <si>
    <t>Total</t>
  </si>
  <si>
    <t>Understanding</t>
  </si>
  <si>
    <t>Not Started</t>
  </si>
  <si>
    <t>Developing</t>
  </si>
  <si>
    <t>Secure</t>
  </si>
  <si>
    <t>Standard level: 11 hours Higher level: 18 hours</t>
  </si>
  <si>
    <t>Subtopic</t>
  </si>
  <si>
    <t>Learning Statement</t>
  </si>
  <si>
    <t>Level</t>
  </si>
  <si>
    <t>Confidence level</t>
  </si>
  <si>
    <t>A1.1 Computer hardware and operation</t>
  </si>
  <si>
    <t>A1.1.1 Describe the functions and interactions of the main CPU components.</t>
  </si>
  <si>
    <t>SL</t>
  </si>
  <si>
    <t>Not started</t>
  </si>
  <si>
    <t>A1.1.2 Describe the role of a GPU.</t>
  </si>
  <si>
    <t>A1.1.3 Explain the differences between the CPU and the GPU. (HL only)</t>
  </si>
  <si>
    <t>HL</t>
  </si>
  <si>
    <t>A1.1.4 Explain the purposes of different types of primary memory.</t>
  </si>
  <si>
    <t>A1.1.5 Describe the fetch, decode and execute cycle.</t>
  </si>
  <si>
    <t>A1.1.6 Describe the process of pipelining in multi-core architectures. (HL only)</t>
  </si>
  <si>
    <t>A1.1.7 Describe internal and external types of secondary memory storage.</t>
  </si>
  <si>
    <t>A1.1.8 Describe the concept of compression.</t>
  </si>
  <si>
    <t>A1.1.9 Describe the different types of services in cloud computing.</t>
  </si>
  <si>
    <t>A1.2 Data representation and computer logic</t>
  </si>
  <si>
    <t>A1.2.1 Describe the principal methods of representing data.</t>
  </si>
  <si>
    <t>A1.2.2 Explain how binary is used to store data.</t>
  </si>
  <si>
    <t>A1.2.3 Describe the purpose and use of logic gates.</t>
  </si>
  <si>
    <t>A1.2.4 Construct and analyse truth tables.</t>
  </si>
  <si>
    <t>A.1.2.5 Construct logic diagrams.</t>
  </si>
  <si>
    <t>A1.3 Operating systems and control systems</t>
  </si>
  <si>
    <t>A1.3.1 Describe the role of operating systems.</t>
  </si>
  <si>
    <t>A1.3.2 Describe the functions of an operating system.</t>
  </si>
  <si>
    <t>A1.3.3 Compare different approaches to scheduling.</t>
  </si>
  <si>
    <t>A1.3.4 Evaluate the use of polling and interrupt handling</t>
  </si>
  <si>
    <t>A1.3.5 Explain the role of the operating system in managing multitasking and resource allocation. (HL only)</t>
  </si>
  <si>
    <t>A1.3.6 Describe the use of the control system components.  (HL only)</t>
  </si>
  <si>
    <t>A1.3.7 Explain the use of control systems in a range of real-world applications.  (HL only)</t>
  </si>
  <si>
    <t>A1.4 Translation (HL only)</t>
  </si>
  <si>
    <t>A1.4.1 Evaluate the translation processes of interpreters and compilers.  (HL only)</t>
  </si>
  <si>
    <t>Linking Questions</t>
  </si>
  <si>
    <t>What role does multitasking in an operating system play in machine learning (A4)?</t>
  </si>
  <si>
    <t>How might a conditional statement be constructed using Boolean logic gates in a circuit (B2)?</t>
  </si>
  <si>
    <t>What role does task-scheduling in an operating system play in managing network traffic and requests (A2.3.3, A2.4)?</t>
  </si>
  <si>
    <t>How does resource allocation in an operating system impact network performance and stability (A2)?</t>
  </si>
  <si>
    <t>What role do GPUs play in non-graphics computational tasks (A4)?</t>
  </si>
  <si>
    <t>To what extent should computer systems not cause harm (TOK)?</t>
  </si>
  <si>
    <t>A2.1 Network fundamentals</t>
  </si>
  <si>
    <t>A2.1.1 Describe the purpose and characteristics of networks.</t>
  </si>
  <si>
    <t>A2.1.2 Describe the purpose, benefits and limitations of modern digital infrastructures.</t>
  </si>
  <si>
    <t>A2.1.3 Describe the function of network devices.</t>
  </si>
  <si>
    <t>A2.1.4 Describe the network protocols used for transport and application.</t>
  </si>
  <si>
    <t>A2.1.5 Describe the function of the TCP/IP model. (HL only)</t>
  </si>
  <si>
    <t>A2.2 Network architecture</t>
  </si>
  <si>
    <t>A2.2.1 Describe the functions and practical applications of network topologies.</t>
  </si>
  <si>
    <t>A2.2.2 Describe the function of servers. (HL only)</t>
  </si>
  <si>
    <t>A2.2.3 Compare and contrast networking models.</t>
  </si>
  <si>
    <t>A2.2.4 Explain the concepts and applications of network segmentation.</t>
  </si>
  <si>
    <t>A2.3 Data transmissions</t>
  </si>
  <si>
    <t>A2.3.1 Describe different types of IP addressing.</t>
  </si>
  <si>
    <t>A2.3.2 Compare types of media for data transmission.</t>
  </si>
  <si>
    <t>A2.3.3 Explain how packet switching is used to send data across a network.</t>
  </si>
  <si>
    <t>A2.3.4 Explain how static routing and dynamic routing move data across local area networks. (HL only)</t>
  </si>
  <si>
    <t>A2.4 Network security</t>
  </si>
  <si>
    <t>A2.4.1 Discuss the effectiveness of firewalls at protecting a network.</t>
  </si>
  <si>
    <t>A2.4.2 Describe common network vulnerabilities. (HL only)</t>
  </si>
  <si>
    <t>A2.4.3 Describe common network countermeasures. (HL only)</t>
  </si>
  <si>
    <t>A2.4.4 Describe the process of encryption and digital certificates.</t>
  </si>
  <si>
    <t>• Do networks and databases use the same form of encryption algorithms (A3)?</t>
  </si>
  <si>
    <t>• How do cloud computing and distributed systems utilize networking to deliver services (A1.1.9)?</t>
  </si>
  <si>
    <t>• How do the concepts of binary and hexadecimal data structures relate to network communications (B2)?</t>
  </si>
  <si>
    <t>• Are similar ethical principles needed when transmitting data over a network and using data in machine learning algorithms (TOK)?</t>
  </si>
  <si>
    <t>• How can network types or transmissions impact database performance (A3)?</t>
  </si>
  <si>
    <t>• What are the similarities and differences between network security and database security (A3)?</t>
  </si>
  <si>
    <t>• How do network technologies influence machine learning algorithms (A4)?</t>
  </si>
  <si>
    <t>A3.1 Database fundamentals</t>
  </si>
  <si>
    <t>A3.1.1 Explain the features, benefits and limitations of a relational database.</t>
  </si>
  <si>
    <t>A3.2 Database design</t>
  </si>
  <si>
    <t>A3.2.1 Describe database schemas.</t>
  </si>
  <si>
    <t>A3.2.2 Construct ERDs.</t>
  </si>
  <si>
    <t>A3.2.3 Outline the different data types used in relational databases.</t>
  </si>
  <si>
    <t>A3.2.4 Construct tables for relational databases.</t>
  </si>
  <si>
    <t>A3.2.5 Explain the difference between normal forms.</t>
  </si>
  <si>
    <t>A3.2.6 Construct a database normalized to 3NF for a range of real-world scenarios.</t>
  </si>
  <si>
    <t>A3.2.7 Evaluate the need for denormalizing databases.</t>
  </si>
  <si>
    <t>A3.3 Database programming</t>
  </si>
  <si>
    <t>A3.3.1 Outline the differences between data language types within SQL.</t>
  </si>
  <si>
    <t>A3.3.2 Construct queries between two tables in SQL.</t>
  </si>
  <si>
    <t>A3.3.3 Explain how SQL can be used to update data in a database.</t>
  </si>
  <si>
    <t>A3.3.4 Construct calculations within a database using SQL’s aggregate functions. (HL only)</t>
  </si>
  <si>
    <t>A3.3.5 Describe different database views. (HL only)</t>
  </si>
  <si>
    <t>A3.3.6 Describe how transactions maintain data integrity in a database. (HL only)</t>
  </si>
  <si>
    <t>A3.4 Alternative databases and data warehouses (HL only)</t>
  </si>
  <si>
    <t>A3.4.1 Outline the different types of databases as approaches to storing data.</t>
  </si>
  <si>
    <t>Thursday - Oct 9</t>
  </si>
  <si>
    <t>A3.4.2 Explain the primary objectives of data warehouses in data management and business intelligence.</t>
  </si>
  <si>
    <t>A3.4.3 Explain the role of online analytical processing (OLAP) and data mining for business intelligence.</t>
  </si>
  <si>
    <t>A3.4.4 Describe the features of distributed databases.</t>
  </si>
  <si>
    <t>• What processes are needed to store data in database structures so that they can be used in machine learning (A4)?</t>
  </si>
  <si>
    <t>• How does database programming in SQL differ from programming computationally in a high-level language (B2)?</t>
  </si>
  <si>
    <t>• To what extent is the effectiveness of the distributed database determined by the network that connects the various tables (A2)?</t>
  </si>
  <si>
    <t>• How could machine learning be applied to databases (A4)?</t>
  </si>
  <si>
    <t>• How do programming languages interact with databases to store, retrieve and manipulate data (B2)?</t>
  </si>
  <si>
    <t>Standard level: 5 hours Higher level: 18 hours</t>
  </si>
  <si>
    <t>A4.1 Machine learning fundamentals</t>
  </si>
  <si>
    <t>A4.1.1 Describe the types of machine learning and their applications in the real world.</t>
  </si>
  <si>
    <t>A4.1.2 Describe the hardware requirements for various scenarios where machine learning is deployed.</t>
  </si>
  <si>
    <t>A4.2 Data preprocessing (HL only)</t>
  </si>
  <si>
    <t>A4.2.1 Describe the significance of data cleaning.</t>
  </si>
  <si>
    <t>A4.2.2 Describe the role of feature selection.</t>
  </si>
  <si>
    <t>A4.2.3 Describe the importance of dimensionality reduction.</t>
  </si>
  <si>
    <t>A4.3 Machine learning approaches (HL only)</t>
  </si>
  <si>
    <t>A4.3.1 Explain how linear regression is used to predict continuous outcomes.</t>
  </si>
  <si>
    <t>A4.3.2 Explain how classifications techniques in supervised learning are used to predict discrete categorical outcomes.</t>
  </si>
  <si>
    <t>A4.3.3 Explain the role of hyperparameter tuning when evaluating supervised learning algorithms.</t>
  </si>
  <si>
    <t>A4.3.4 Describe how clustering techniques in unsupervised learning are used to group data based on similarities in features.</t>
  </si>
  <si>
    <t>A4.3.5 Describe how learning techniques using the association rule are used to uncover relations between different attributes in large data sets.</t>
  </si>
  <si>
    <t>A4.3.6 Describe how an agent learns to make decisions by interacting with its environment in reinforcement learning.</t>
  </si>
  <si>
    <t>A4.3.7 Describe the application of genetic algorithms in various real-world situations.</t>
  </si>
  <si>
    <t>A4.3.8 Outline the structure and function of ANNs and how multi-layer networks are used to model complex patterns in data sets.</t>
  </si>
  <si>
    <t>A4.3.9 Describe how CNNs are designed to adaptively learn spatial hierarchies of features in images.</t>
  </si>
  <si>
    <t>A4.3.10 Explain the importance of model selection and comparison in machine learning.</t>
  </si>
  <si>
    <t>A4.4 Ethical considerations</t>
  </si>
  <si>
    <t>A4.4.1 Discuss the ethical implications of machine learning in real-world scenarios.</t>
  </si>
  <si>
    <t>A4.4.2 Discuss ethical aspects of the increasing integration of computer technologies into daily life.</t>
  </si>
  <si>
    <t>Linking questions</t>
  </si>
  <si>
    <t>• How can machine learning be applied to optimize the management of network traffic (A2)?</t>
  </si>
  <si>
    <t>• How does database programming in SQL differ from programming computationally in a high-level</t>
  </si>
  <si>
    <t>language (A3, B2)?</t>
  </si>
  <si>
    <t>• To what extent are developments in machine learning ethical (TOK)?</t>
  </si>
  <si>
    <t>• How can larger models be processed using GPUs and cloud processing (A1)?</t>
  </si>
  <si>
    <t>• Can machine learning find and improve network security problems (A2)?</t>
  </si>
  <si>
    <t>Standard level: 5 hours Higher level: 5 hours</t>
  </si>
  <si>
    <t>B1.1 Approaches to computational thinking</t>
  </si>
  <si>
    <t>B1.1.1 Construct a problem specification.</t>
  </si>
  <si>
    <t>B1.1.2 Describe the fundamental concepts of computational thinking.</t>
  </si>
  <si>
    <t>B1.1.3 Explain how applying computational thinking to fundamental concepts is used to approach and solve problems in computer science.</t>
  </si>
  <si>
    <t>B1.1.4 Trace flowcharts for a range of programming algorithms.</t>
  </si>
  <si>
    <t>• How is pattern recognition used to identify different types of traffic flowing across a network (A2)?</t>
  </si>
  <si>
    <t>• How are the concepts of computational thinking used in code when designing algorithms (B2)?</t>
  </si>
  <si>
    <t>Standard level: 40 hours Higher level: 42 hours</t>
  </si>
  <si>
    <t>B2.1 Programming fundamentals</t>
  </si>
  <si>
    <t>B2.1.1 Construct and trace programs using a range of global and local variables of various data types.</t>
  </si>
  <si>
    <t>B2.1.2 Construct programs that can extract and manipulate substrings.</t>
  </si>
  <si>
    <t>B2.1.3 Describe how programs use common exception handling techniques.</t>
  </si>
  <si>
    <t>B2.1.4 Construct and use common debugging techniques.</t>
  </si>
  <si>
    <t>B2.2 Data structures</t>
  </si>
  <si>
    <t>B2.2.1 Compare static and dynamic data structures.</t>
  </si>
  <si>
    <t>B2.2.2 Construct programs that apply arrays and Lists.</t>
  </si>
  <si>
    <t>B2.2.3 Explain the concept of a stack as a “last in, first out” (LIFO) data structure.</t>
  </si>
  <si>
    <t>B2.2.4 Explain the concept of a queue as a “first in, first out” (FIFO) data structure.</t>
  </si>
  <si>
    <t>B2.3 Programming constructs</t>
  </si>
  <si>
    <t>B2.3.1 Construct programs that implement the correct sequence of code instructions to meet program objectives.</t>
  </si>
  <si>
    <t>B2.3.2 Construct programs utilizing appropriate selection structures.</t>
  </si>
  <si>
    <t>B2.3.3 Construct programs that utilize looping structures to perform repeated actions.</t>
  </si>
  <si>
    <t>B2.3.4 Construct functions and modularization.</t>
  </si>
  <si>
    <t>B2.4 Programming algorithms</t>
  </si>
  <si>
    <t>B2.4.1 Describe the efficiency of specific algorithms by calculating their Big O notation to analyse their scalability.</t>
  </si>
  <si>
    <t>B2.4.2 Construct and trace algorithms to implement a linear search and a binary search for data retrieval.</t>
  </si>
  <si>
    <t>B2.4.3 Construct and trace algorithms to implement bubble sort and selection sort, evaluating their time and space complexities.</t>
  </si>
  <si>
    <t>B2.4.4 Explain the fundamental concept of recursion and its applications in programming. (HL only)</t>
  </si>
  <si>
    <t>B2.4.5 Construct and trace recursive algorithms in a programming language. (HL only)</t>
  </si>
  <si>
    <t>B2.5 File processing</t>
  </si>
  <si>
    <t>B2.5.1 Construct code to perform file-processing operations.</t>
  </si>
  <si>
    <t>• Does database programming in SQL require computational thinking (A3)?</t>
  </si>
  <si>
    <t>• Why is an understanding of variables and their scope important for effective memory management in computer systems (A1)?</t>
  </si>
  <si>
    <t>• Is algorithmic efficiency relevant to machine learning, where large data sets are processed and computational cost can be significant (A4)?</t>
  </si>
  <si>
    <t>• Are data structures like stacks and queues applicable in networking algorithms for packet routing and load balancing (A2)?</t>
  </si>
  <si>
    <t>• How can graph theory be applied to packet distribution in networks (A2, DP mathematics: applications and interpretation—HL)?</t>
  </si>
  <si>
    <t>• How do graph algorithms and terminologies, such as vertices and edges, impact machine learning algorithms like network analysis (A4, DP mathematics: applications and interpretation—HL)?</t>
  </si>
  <si>
    <t>• How can network traffic be used as an example of, or connection to, programming algorithms (A2)?</t>
  </si>
  <si>
    <t>• How could programming algorithms be applied to develop machine learning methods (A4)?</t>
  </si>
  <si>
    <t>Standard level: 7 hours Higher level: 23 hours</t>
  </si>
  <si>
    <t>B3.1 Fundamentals of OOP for a single class</t>
  </si>
  <si>
    <t>B3.1.1 Evaluate the fundamentals of OOP.</t>
  </si>
  <si>
    <t>B3.1.2 Construct a design of classes, their methods and behaviour.</t>
  </si>
  <si>
    <t>B3.1.3 Distinguish between static and non-static variables and methods.</t>
  </si>
  <si>
    <t>B3.1.4 Construct code to define classes and instantiate objects.</t>
  </si>
  <si>
    <t>B3.1.5 Explain and apply the concepts of encapsulation and information hiding in OOP.</t>
  </si>
  <si>
    <t>B3.2 Fundamentals of OOP for multiple classes (HL only)</t>
  </si>
  <si>
    <t>B3.2.1 Explain and apply the concept of inheritance in OOP to promote code reusability.</t>
  </si>
  <si>
    <t>B3.2.2 Construct code to model polymorphism and its various forms, such as method overriding.</t>
  </si>
  <si>
    <t>B3.2.3 Explain the concept of abstraction in OOP.</t>
  </si>
  <si>
    <t>B3.2.4 Explain the role of composition and aggregation in class relationships.</t>
  </si>
  <si>
    <t>B3.2.5 Explain commonly used design patterns in OOP.</t>
  </si>
  <si>
    <t>• In what ways can OOP be applied to database development (A3)?</t>
  </si>
  <si>
    <t>• Is OOP necessary for all programming, or only in modelling complex situations (B2)?</t>
  </si>
  <si>
    <t>• How can design patterns in OOP facilitate the architecture of scalable and maintainable machine learning models (A4)?</t>
  </si>
  <si>
    <t>• How can the principles of encapsulation and information hiding be applied to secure network communication (A3)?</t>
  </si>
  <si>
    <t>Higher level: 23 hours</t>
  </si>
  <si>
    <t>B4.1 Fundamentals of ADTs</t>
  </si>
  <si>
    <t>B4.1.1 Explain the properties and purpose of ADTs in programming.</t>
  </si>
  <si>
    <t>B4.1.2 Evaluate linked lists.</t>
  </si>
  <si>
    <t>B4.1.3 Construct and apply linked lists: singly, doubly and circular.</t>
  </si>
  <si>
    <t>B4.1.4 Explain the structures and properties of BSTs.</t>
  </si>
  <si>
    <t>B4.1.5 Construct and apply sets as an ADT.</t>
  </si>
  <si>
    <t>B4.1.6 Explain the core principles of ADTs.</t>
  </si>
  <si>
    <t>• What role do stacks and queues play in handling CPU interrupts and polling (A1)?</t>
  </si>
  <si>
    <t>• Can ADTs be used to manage data (A2)?</t>
  </si>
  <si>
    <t>• How can ADTs be used to optimize file-processing operations like read and write (B2)?</t>
  </si>
  <si>
    <t>• Can a BST play a role in the quicksort algorithm (B1)?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</si>
</sst>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 mmm d"/>
  </numFmts>
  <fonts count="7">
    <font>
      <sz val="10.0"/>
      <color rgb="FF000000"/>
      <name val="Arial"/>
      <scheme val="minor"/>
    </font>
    <font>
      <sz val="15.0"/>
      <color theme="1"/>
      <name val="Arial"/>
    </font>
    <font>
      <color theme="1"/>
      <name val="Arial"/>
    </font>
    <font>
      <u/>
      <sz val="14.0"/>
      <color rgb="FF0000FF"/>
      <name val="Google Sans"/>
    </font>
    <font>
      <u/>
      <sz val="14.0"/>
      <color rgb="FF1155CC"/>
      <name val="Google Sans"/>
    </font>
    <font>
      <color theme="1"/>
      <name val="Arial"/>
      <scheme val="minor"/>
    </font>
    <font>
      <b/>
      <color theme="1"/>
      <name val="Arial"/>
      <scheme val="minor"/>
    </font>
  </fonts>
  <fills count="3">
    <fill>
      <patternFill patternType="none"/>
    </fill>
    <fill>
      <patternFill patternType="lightGray"/>
    </fill>
    <fill>
      <patternFill patternType="solid">
        <fgColor rgb="FFFFFFFF"/>
        <bgColor rgb="FFFFFFFF"/>
      </patternFill>
    </fill>
  </fills>
  <borders count="12">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right style="thin">
        <color rgb="FF000000"/>
      </right>
    </border>
    <border>
      <right style="thin">
        <color rgb="FF000000"/>
      </right>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bottom"/>
    </xf>
    <xf borderId="0" fillId="2" fontId="4" numFmtId="0" xfId="0" applyAlignment="1" applyFont="1">
      <alignment vertical="bottom"/>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5" numFmtId="0" xfId="0" applyAlignment="1" applyFont="1">
      <alignment shrinkToFit="0" wrapText="1"/>
    </xf>
    <xf borderId="1" fillId="0" fontId="6" numFmtId="0" xfId="0" applyAlignment="1" applyBorder="1" applyFont="1">
      <alignment readingOrder="0" shrinkToFit="0" vertical="center" wrapText="0"/>
    </xf>
    <xf borderId="2" fillId="0" fontId="5" numFmtId="0" xfId="0" applyAlignment="1" applyBorder="1" applyFont="1">
      <alignment readingOrder="0" shrinkToFit="0" vertical="center" wrapText="0"/>
    </xf>
    <xf borderId="3" fillId="0" fontId="5" numFmtId="0" xfId="0" applyAlignment="1" applyBorder="1" applyFont="1">
      <alignment shrinkToFit="0" vertical="center" wrapText="0"/>
    </xf>
    <xf borderId="4" fillId="0" fontId="5" numFmtId="0" xfId="0" applyAlignment="1" applyBorder="1" applyFont="1">
      <alignment shrinkToFit="0" vertical="center" wrapText="0"/>
    </xf>
    <xf borderId="2" fillId="0" fontId="5" numFmtId="0" xfId="0" applyAlignment="1" applyBorder="1" applyFont="1">
      <alignment shrinkToFit="0" vertical="center" wrapText="0"/>
    </xf>
    <xf borderId="1" fillId="0" fontId="5" numFmtId="0" xfId="0" applyAlignment="1" applyBorder="1" applyFont="1">
      <alignment shrinkToFit="0" vertical="center" wrapText="0"/>
    </xf>
    <xf borderId="5" fillId="0" fontId="6" numFmtId="49" xfId="0" applyAlignment="1" applyBorder="1" applyFont="1" applyNumberFormat="1">
      <alignment shrinkToFit="0" vertical="center" wrapText="0"/>
    </xf>
    <xf borderId="6" fillId="0" fontId="5" numFmtId="0" xfId="0" applyAlignment="1" applyBorder="1" applyFont="1">
      <alignment readingOrder="0" shrinkToFit="0" vertical="center" wrapText="0"/>
    </xf>
    <xf borderId="7" fillId="0" fontId="5" numFmtId="0" xfId="0" applyAlignment="1" applyBorder="1" applyFont="1">
      <alignment shrinkToFit="0" vertical="center" wrapText="0"/>
    </xf>
    <xf borderId="0" fillId="0" fontId="5" numFmtId="0" xfId="0" applyAlignment="1" applyFont="1">
      <alignment shrinkToFit="0" vertical="center" wrapText="0"/>
    </xf>
    <xf borderId="6" fillId="0" fontId="5" numFmtId="0" xfId="0" applyAlignment="1" applyBorder="1" applyFont="1">
      <alignment shrinkToFit="0" vertical="center" wrapText="0"/>
    </xf>
    <xf borderId="5" fillId="0" fontId="5" numFmtId="0" xfId="0" applyAlignment="1" applyBorder="1" applyFont="1">
      <alignment shrinkToFit="0" vertical="center" wrapText="0"/>
    </xf>
    <xf borderId="8" fillId="0" fontId="6" numFmtId="49" xfId="0" applyAlignment="1" applyBorder="1" applyFont="1" applyNumberFormat="1">
      <alignment shrinkToFit="0" vertical="center" wrapText="0"/>
    </xf>
    <xf borderId="9" fillId="0" fontId="5" numFmtId="0" xfId="0" applyAlignment="1" applyBorder="1" applyFont="1">
      <alignment readingOrder="0" shrinkToFit="0" vertical="center" wrapText="0"/>
    </xf>
    <xf borderId="10" fillId="0" fontId="5" numFmtId="0" xfId="0" applyAlignment="1" applyBorder="1" applyFont="1">
      <alignment shrinkToFit="0" vertical="center" wrapText="0"/>
    </xf>
    <xf borderId="11" fillId="0" fontId="5" numFmtId="0" xfId="0" applyAlignment="1" applyBorder="1" applyFont="1">
      <alignment shrinkToFit="0" vertical="center" wrapText="0"/>
    </xf>
    <xf borderId="9" fillId="0" fontId="5" numFmtId="0" xfId="0" applyAlignment="1" applyBorder="1" applyFont="1">
      <alignment shrinkToFit="0" vertical="center" wrapText="0"/>
    </xf>
    <xf borderId="8" fillId="0" fontId="5" numFmtId="0" xfId="0" applyAlignment="1" applyBorder="1" applyFont="1">
      <alignment shrinkToFit="0" vertical="center" wrapText="0"/>
    </xf>
    <xf borderId="5" fillId="0" fontId="6" numFmtId="0" xfId="0" applyAlignment="1" applyBorder="1" applyFont="1">
      <alignment readingOrder="0" shrinkToFit="0" vertical="center" wrapText="0"/>
    </xf>
    <xf borderId="0" fillId="0" fontId="5" numFmtId="0" xfId="0" applyAlignment="1" applyFont="1">
      <alignment readingOrder="0"/>
    </xf>
    <xf borderId="0" fillId="0" fontId="6" numFmtId="0" xfId="0" applyAlignment="1" applyFont="1">
      <alignment horizontal="center" readingOrder="0"/>
    </xf>
    <xf borderId="0" fillId="0" fontId="6"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2"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0" fillId="0" fontId="5" numFmtId="0" xfId="0" applyAlignment="1" applyFont="1">
      <alignment readingOrder="0" shrinkToFit="0" vertical="center" wrapText="0"/>
    </xf>
    <xf borderId="0" fillId="0" fontId="5" numFmtId="49" xfId="0" applyAlignment="1" applyFont="1" applyNumberFormat="1">
      <alignment shrinkToFit="0" vertical="center" wrapText="0"/>
    </xf>
    <xf borderId="0" fillId="0" fontId="2" numFmtId="0" xfId="0" applyAlignment="1" applyFont="1">
      <alignment horizontal="center" shrinkToFit="0" vertical="bottom" wrapText="0"/>
    </xf>
    <xf borderId="0" fillId="0" fontId="2" numFmtId="0" xfId="0" applyAlignment="1" applyFont="1">
      <alignment horizontal="center" readingOrder="0" vertical="bottom"/>
    </xf>
    <xf borderId="0" fillId="0" fontId="6" numFmtId="0" xfId="0" applyAlignment="1" applyFont="1">
      <alignment readingOrder="0"/>
    </xf>
    <xf borderId="0" fillId="0" fontId="5" numFmtId="49" xfId="0" applyAlignment="1" applyFont="1" applyNumberFormat="1">
      <alignment readingOrder="0" shrinkToFit="0" vertical="center" wrapText="0"/>
    </xf>
    <xf borderId="0" fillId="0" fontId="5" numFmtId="164"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Progress-style">
      <tableStyleElement dxfId="1" type="headerRow"/>
      <tableStyleElement dxfId="2" type="firstRowStripe"/>
      <tableStyleElement dxfId="3" type="secondRowStripe"/>
      <tableStyleElement dxfId="4" size="0" type="wholeTable"/>
    </tableStyle>
    <tableStyle count="4" pivot="0" name="A1 Computer fundamentals-style">
      <tableStyleElement dxfId="1" type="headerRow"/>
      <tableStyleElement dxfId="2" type="firstRowStripe"/>
      <tableStyleElement dxfId="3" type="secondRowStripe"/>
      <tableStyleElement dxfId="4" size="0" type="wholeTable"/>
    </tableStyle>
    <tableStyle count="4" pivot="0" name="A2 Networks-style">
      <tableStyleElement dxfId="1" type="headerRow"/>
      <tableStyleElement dxfId="2" type="firstRowStripe"/>
      <tableStyleElement dxfId="3" type="secondRowStripe"/>
      <tableStyleElement dxfId="4" size="0" type="wholeTable"/>
    </tableStyle>
    <tableStyle count="4" pivot="0" name="A3 Databases-style">
      <tableStyleElement dxfId="1" type="headerRow"/>
      <tableStyleElement dxfId="2" type="firstRowStripe"/>
      <tableStyleElement dxfId="3" type="secondRowStripe"/>
      <tableStyleElement dxfId="4" size="0" type="wholeTable"/>
    </tableStyle>
    <tableStyle count="4" pivot="0" name="A4 Machine learning-style">
      <tableStyleElement dxfId="1" type="headerRow"/>
      <tableStyleElement dxfId="2" type="firstRowStripe"/>
      <tableStyleElement dxfId="3" type="secondRowStripe"/>
      <tableStyleElement dxfId="4" size="0" type="wholeTable"/>
    </tableStyle>
    <tableStyle count="4" pivot="0" name="B1 Computational thinking-style">
      <tableStyleElement dxfId="1" type="headerRow"/>
      <tableStyleElement dxfId="2" type="firstRowStripe"/>
      <tableStyleElement dxfId="3" type="secondRowStripe"/>
      <tableStyleElement dxfId="4" size="0" type="wholeTable"/>
    </tableStyle>
    <tableStyle count="4" pivot="0" name="B2 Programming-style">
      <tableStyleElement dxfId="1" type="headerRow"/>
      <tableStyleElement dxfId="2" type="firstRowStripe"/>
      <tableStyleElement dxfId="3" type="secondRowStripe"/>
      <tableStyleElement dxfId="4" size="0" type="wholeTable"/>
    </tableStyle>
    <tableStyle count="4" pivot="0" name="B3 Object-oriented programming-style">
      <tableStyleElement dxfId="1" type="headerRow"/>
      <tableStyleElement dxfId="2" type="firstRowStripe"/>
      <tableStyleElement dxfId="3" type="secondRowStripe"/>
      <tableStyleElement dxfId="4" size="0" type="wholeTable"/>
    </tableStyle>
    <tableStyle count="4" pivot="0" name="B4 Abstract data types (HL onl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Understanding</a:t>
            </a:r>
          </a:p>
        </c:rich>
      </c:tx>
      <c:layout>
        <c:manualLayout>
          <c:xMode val="edge"/>
          <c:yMode val="edge"/>
          <c:x val="0.03258333333333333"/>
          <c:y val="0.05"/>
        </c:manualLayout>
      </c:layout>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1"/>
            <c:showSerName val="0"/>
            <c:showPercent val="0"/>
            <c:showBubbleSize val="0"/>
            <c:showLeaderLines val="1"/>
          </c:dLbls>
          <c:cat>
            <c:strRef>
              <c:f>Progress!$B$5:$B$7</c:f>
            </c:strRef>
          </c:cat>
          <c:val>
            <c:numRef>
              <c:f>Progress!$K$5:$K$7</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Progress</a:t>
            </a:r>
          </a:p>
        </c:rich>
      </c:tx>
      <c:layout>
        <c:manualLayout>
          <c:xMode val="edge"/>
          <c:yMode val="edge"/>
          <c:x val="0.02925"/>
          <c:y val="0.05"/>
        </c:manualLayout>
      </c:layout>
      <c:overlay val="0"/>
    </c:title>
    <c:plotArea>
      <c:layout/>
      <c:doughnutChart>
        <c:varyColors val="1"/>
        <c:ser>
          <c:idx val="0"/>
          <c:order val="0"/>
          <c:tx>
            <c:strRef>
              <c:f>Progress!$K$1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Progress!$B$2:$B$3</c:f>
            </c:strRef>
          </c:cat>
          <c:val>
            <c:numRef>
              <c:f>Progress!$K$2:$K$3</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8</xdr:row>
      <xdr:rowOff>0</xdr:rowOff>
    </xdr:from>
    <xdr:ext cx="3352800" cy="2076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628650</xdr:colOff>
      <xdr:row>8</xdr:row>
      <xdr:rowOff>0</xdr:rowOff>
    </xdr:from>
    <xdr:ext cx="3409950" cy="2076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 displayName="Tracker" name="Tracker" id="1">
  <tableColumns count="11">
    <tableColumn name="Progress and understanding" id="1"/>
    <tableColumn name="Coverage" id="2"/>
    <tableColumn name="A1 Computer fundamentals" id="3"/>
    <tableColumn name="A2 Networks" id="4"/>
    <tableColumn name="A3 Databases" id="5"/>
    <tableColumn name="A4 Machine learning" id="6"/>
    <tableColumn name="B1 Computational thinking" id="7"/>
    <tableColumn name="B2 Programming" id="8"/>
    <tableColumn name="B3 Object-oriented programming" id="9"/>
    <tableColumn name="B4 Abstract data types—HL only" id="10"/>
    <tableColumn name="Overall" id="11"/>
  </tableColumns>
  <tableStyleInfo name="Progress-style" showColumnStripes="0" showFirstColumn="1" showLastColumn="1" showRowStripes="1"/>
</table>
</file>

<file path=xl/tables/table2.xml><?xml version="1.0" encoding="utf-8"?>
<table xmlns="http://schemas.openxmlformats.org/spreadsheetml/2006/main" ref="A3:E25" displayName="A1_Computer_fundamentals" name="A1_Computer_fundamentals" id="2">
  <tableColumns count="5">
    <tableColumn name="Subtopic" id="1"/>
    <tableColumn name="Learning Statement" id="2"/>
    <tableColumn name="Level" id="3"/>
    <tableColumn name="Covered in class" id="4"/>
    <tableColumn name="Confidence level" id="5"/>
  </tableColumns>
  <tableStyleInfo name="A1 Computer fundamentals-style" showColumnStripes="0" showFirstColumn="1" showLastColumn="1" showRowStripes="1"/>
</table>
</file>

<file path=xl/tables/table3.xml><?xml version="1.0" encoding="utf-8"?>
<table xmlns="http://schemas.openxmlformats.org/spreadsheetml/2006/main" ref="A3:E20" displayName="A2_Networks" name="A2_Networks" id="3">
  <tableColumns count="5">
    <tableColumn name="Subtopic" id="1"/>
    <tableColumn name="Learning Statement" id="2"/>
    <tableColumn name="Level" id="3"/>
    <tableColumn name="Covered in class" id="4"/>
    <tableColumn name="Confidence level" id="5"/>
  </tableColumns>
  <tableStyleInfo name="A2 Networks-style" showColumnStripes="0" showFirstColumn="1" showLastColumn="1" showRowStripes="1"/>
</table>
</file>

<file path=xl/tables/table4.xml><?xml version="1.0" encoding="utf-8"?>
<table xmlns="http://schemas.openxmlformats.org/spreadsheetml/2006/main" ref="A3:E21" displayName="A3_Databases" name="A3_Databases" id="4">
  <tableColumns count="5">
    <tableColumn name="Subtopic" id="1"/>
    <tableColumn name="Learning Statement" id="2"/>
    <tableColumn name="Level" id="3"/>
    <tableColumn name="Covered in class" id="4"/>
    <tableColumn name="Confidence level" id="5"/>
  </tableColumns>
  <tableStyleInfo name="A3 Databases-style" showColumnStripes="0" showFirstColumn="1" showLastColumn="1" showRowStripes="1"/>
</table>
</file>

<file path=xl/tables/table5.xml><?xml version="1.0" encoding="utf-8"?>
<table xmlns="http://schemas.openxmlformats.org/spreadsheetml/2006/main" ref="A3:E20" displayName="A4_Machine_learning" name="A4_Machine_learning" id="5">
  <tableColumns count="5">
    <tableColumn name="Subtopic" id="1"/>
    <tableColumn name="Learning Statement" id="2"/>
    <tableColumn name="Level" id="3"/>
    <tableColumn name="Covered in class" id="4"/>
    <tableColumn name="Confidence level" id="5"/>
  </tableColumns>
  <tableStyleInfo name="A4 Machine learning-style" showColumnStripes="0" showFirstColumn="1" showLastColumn="1" showRowStripes="1"/>
</table>
</file>

<file path=xl/tables/table6.xml><?xml version="1.0" encoding="utf-8"?>
<table xmlns="http://schemas.openxmlformats.org/spreadsheetml/2006/main" ref="A3:E7" displayName="B1_Computational_thinking" name="B1_Computational_thinking" id="6">
  <tableColumns count="5">
    <tableColumn name="Subtopic" id="1"/>
    <tableColumn name="Learning Statement" id="2"/>
    <tableColumn name="Level" id="3"/>
    <tableColumn name="Covered in class" id="4"/>
    <tableColumn name="Confidence level" id="5"/>
  </tableColumns>
  <tableStyleInfo name="B1 Computational thinking-style" showColumnStripes="0" showFirstColumn="1" showLastColumn="1" showRowStripes="1"/>
</table>
</file>

<file path=xl/tables/table7.xml><?xml version="1.0" encoding="utf-8"?>
<table xmlns="http://schemas.openxmlformats.org/spreadsheetml/2006/main" ref="A3:E21" displayName="B2_Programming" name="B2_Programming" id="7">
  <tableColumns count="5">
    <tableColumn name="Subtopic" id="1"/>
    <tableColumn name="Learning Statement" id="2"/>
    <tableColumn name="Level" id="3"/>
    <tableColumn name="Covered in class" id="4"/>
    <tableColumn name="Confidence level" id="5"/>
  </tableColumns>
  <tableStyleInfo name="B2 Programming-style" showColumnStripes="0" showFirstColumn="1" showLastColumn="1" showRowStripes="1"/>
</table>
</file>

<file path=xl/tables/table8.xml><?xml version="1.0" encoding="utf-8"?>
<table xmlns="http://schemas.openxmlformats.org/spreadsheetml/2006/main" ref="A3:E13" displayName="B3_Object_oriented_programming" name="B3_Object_oriented_programming" id="8">
  <tableColumns count="5">
    <tableColumn name="Subtopic" id="1"/>
    <tableColumn name="Learning Statement" id="2"/>
    <tableColumn name="Level" id="3"/>
    <tableColumn name="Covered in class" id="4"/>
    <tableColumn name="Confidence level" id="5"/>
  </tableColumns>
  <tableStyleInfo name="B3 Object-oriented programming-style" showColumnStripes="0" showFirstColumn="1" showLastColumn="1" showRowStripes="1"/>
</table>
</file>

<file path=xl/tables/table9.xml><?xml version="1.0" encoding="utf-8"?>
<table xmlns="http://schemas.openxmlformats.org/spreadsheetml/2006/main" ref="A3:E9" displayName="B4_Abstract_data_types_HL_only" name="B4_Abstract_data_types_HL_only" id="9">
  <tableColumns count="5">
    <tableColumn name="Subtopic" id="1"/>
    <tableColumn name="Learning Statement" id="2"/>
    <tableColumn name="Level" id="3"/>
    <tableColumn name="Covered in class" id="4"/>
    <tableColumn name="Confidence level" id="5"/>
  </tableColumns>
  <tableStyleInfo name="B4 Abstract data types (HL onl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13"/>
  </cols>
  <sheetData>
    <row r="1">
      <c r="A1" s="1" t="s">
        <v>0</v>
      </c>
    </row>
    <row r="2">
      <c r="A2" s="2"/>
    </row>
    <row r="3">
      <c r="A3" s="3" t="s">
        <v>1</v>
      </c>
    </row>
    <row r="4">
      <c r="A4" s="4" t="s">
        <v>2</v>
      </c>
    </row>
    <row r="5">
      <c r="A5" s="4" t="s">
        <v>3</v>
      </c>
    </row>
    <row r="6">
      <c r="A6" s="4" t="s">
        <v>4</v>
      </c>
    </row>
    <row r="7">
      <c r="A7" s="4" t="s">
        <v>5</v>
      </c>
    </row>
    <row r="8">
      <c r="A8" s="4" t="s">
        <v>6</v>
      </c>
    </row>
    <row r="9">
      <c r="A9" s="4" t="s">
        <v>7</v>
      </c>
    </row>
  </sheetData>
  <hyperlinks>
    <hyperlink display="A1 Computer fundamentals" location="'A1 Computer fundamentals'!A1" ref="A3"/>
    <hyperlink display="A2 Networks" location="'A2 Networks'!A1" ref="A4"/>
    <hyperlink display="A3 Databases" location="'A3 Databases'!A1" ref="A5"/>
    <hyperlink display="A4 Machine learning" location="'A4 Machine learning'!A1" ref="A6"/>
    <hyperlink display="B1 Computational thinking" location="'B1 Computational thinking'!A1" ref="A7"/>
    <hyperlink display="B2 Programming" location="'B2 Programming'!A1" ref="A8"/>
    <hyperlink display="B3 Object oriented programming" location="'B3 Object-oriented programming'!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17.25"/>
    <col customWidth="1" min="3" max="3" width="15.5"/>
    <col customWidth="1" min="4" max="4" width="15.88"/>
    <col customWidth="1" min="5" max="5" width="15.75"/>
    <col customWidth="1" min="6" max="6" width="15.13"/>
    <col customWidth="1" min="7" max="7" width="15.5"/>
    <col customWidth="1" min="8" max="8" width="15.25"/>
    <col customWidth="1" min="9" max="9" width="17.13"/>
    <col customWidth="1" min="10" max="10" width="15.25"/>
    <col customWidth="1" min="11" max="11" width="14.0"/>
  </cols>
  <sheetData>
    <row r="1" ht="81.0" customHeight="1">
      <c r="A1" s="5" t="s">
        <v>8</v>
      </c>
      <c r="B1" s="5" t="s">
        <v>9</v>
      </c>
      <c r="C1" s="6" t="s">
        <v>1</v>
      </c>
      <c r="D1" s="6" t="s">
        <v>2</v>
      </c>
      <c r="E1" s="6" t="s">
        <v>3</v>
      </c>
      <c r="F1" s="6" t="s">
        <v>4</v>
      </c>
      <c r="G1" s="6" t="s">
        <v>5</v>
      </c>
      <c r="H1" s="6" t="s">
        <v>6</v>
      </c>
      <c r="I1" s="6" t="s">
        <v>10</v>
      </c>
      <c r="J1" s="6" t="s">
        <v>11</v>
      </c>
      <c r="K1" s="6" t="s">
        <v>12</v>
      </c>
      <c r="L1" s="7"/>
      <c r="M1" s="7"/>
      <c r="N1" s="7"/>
      <c r="O1" s="7"/>
      <c r="P1" s="7"/>
      <c r="Q1" s="7"/>
      <c r="R1" s="7"/>
      <c r="S1" s="7"/>
      <c r="T1" s="7"/>
      <c r="U1" s="7"/>
      <c r="V1" s="7"/>
      <c r="W1" s="7"/>
      <c r="X1" s="7"/>
    </row>
    <row r="2" ht="22.5" customHeight="1">
      <c r="A2" s="8" t="s">
        <v>13</v>
      </c>
      <c r="B2" s="9" t="s">
        <v>14</v>
      </c>
      <c r="C2" s="10">
        <f>COUNTIF('A1 Computer fundamentals'!$D4:$D25,"TRUE")</f>
        <v>0</v>
      </c>
      <c r="D2" s="11">
        <f>COUNTIF('A2 Networks'!$D4:$D20,"TRUE")</f>
        <v>1</v>
      </c>
      <c r="E2" s="11">
        <f>COUNTIF('A3 Databases'!$D4:$D21,"TRUE")</f>
        <v>8</v>
      </c>
      <c r="F2" s="11">
        <f>COUNTIF('A4 Machine learning'!$D4:$D20,"TRUE")</f>
        <v>0</v>
      </c>
      <c r="G2" s="11">
        <f>COUNTIF('B1 Computational thinking'!$D4:$D7,"TRUE")</f>
        <v>4</v>
      </c>
      <c r="H2" s="11">
        <f>COUNTIF('B2 Programming'!$D4:$D21,"TRUE")</f>
        <v>9</v>
      </c>
      <c r="I2" s="11">
        <f>COUNTIF('B3 Object-oriented programming'!$D4:$D13,"TRUE")</f>
        <v>0</v>
      </c>
      <c r="J2" s="12">
        <f>COUNTIF('B4 Abstract data types (HL only'!$D4:$D9,"TRUE")</f>
        <v>0</v>
      </c>
      <c r="K2" s="13">
        <f t="shared" ref="K2:K7" si="1">SUM(C2:J2)</f>
        <v>22</v>
      </c>
    </row>
    <row r="3" ht="22.5" customHeight="1">
      <c r="A3" s="14"/>
      <c r="B3" s="15" t="s">
        <v>15</v>
      </c>
      <c r="C3" s="16">
        <f>COUNTIF('A1 Computer fundamentals'!$D4:$D25,"FALSE")</f>
        <v>22</v>
      </c>
      <c r="D3" s="17">
        <f>COUNTIF('A2 Networks'!$D4:$D20,"FALSE")</f>
        <v>16</v>
      </c>
      <c r="E3" s="17">
        <f>COUNTIF('A3 Databases'!$D4:$D21,"FALSE")</f>
        <v>10</v>
      </c>
      <c r="F3" s="17">
        <f>COUNTIF('A4 Machine learning'!$D4:$D20,"FALSE")</f>
        <v>17</v>
      </c>
      <c r="G3" s="17">
        <f>COUNTIF('B1 Computational thinking'!$D4:$D7,"FALSE")</f>
        <v>0</v>
      </c>
      <c r="H3" s="17">
        <f>COUNTIF('B2 Programming'!$D4:$D21,"FALSE")</f>
        <v>9</v>
      </c>
      <c r="I3" s="17">
        <f>COUNTIF('B3 Object-oriented programming'!$D4:$D13,"FALSE")</f>
        <v>10</v>
      </c>
      <c r="J3" s="18">
        <f>COUNTIF('B4 Abstract data types (HL only'!$D4:$D9,"FALSE")</f>
        <v>6</v>
      </c>
      <c r="K3" s="19">
        <f t="shared" si="1"/>
        <v>90</v>
      </c>
    </row>
    <row r="4" ht="22.5" customHeight="1">
      <c r="A4" s="20"/>
      <c r="B4" s="21" t="s">
        <v>16</v>
      </c>
      <c r="C4" s="22">
        <f t="shared" ref="C4:J4" si="2">C2+C3</f>
        <v>22</v>
      </c>
      <c r="D4" s="23">
        <f t="shared" si="2"/>
        <v>17</v>
      </c>
      <c r="E4" s="23">
        <f t="shared" si="2"/>
        <v>18</v>
      </c>
      <c r="F4" s="23">
        <f t="shared" si="2"/>
        <v>17</v>
      </c>
      <c r="G4" s="23">
        <f t="shared" si="2"/>
        <v>4</v>
      </c>
      <c r="H4" s="23">
        <f t="shared" si="2"/>
        <v>18</v>
      </c>
      <c r="I4" s="23">
        <f t="shared" si="2"/>
        <v>10</v>
      </c>
      <c r="J4" s="24">
        <f t="shared" si="2"/>
        <v>6</v>
      </c>
      <c r="K4" s="25">
        <f t="shared" si="1"/>
        <v>112</v>
      </c>
    </row>
    <row r="5" ht="22.5" customHeight="1">
      <c r="A5" s="26" t="s">
        <v>17</v>
      </c>
      <c r="B5" s="15" t="s">
        <v>18</v>
      </c>
      <c r="C5" s="16">
        <f>COUNTIF('A1 Computer fundamentals'!$E4:$E25,"Not started")</f>
        <v>22</v>
      </c>
      <c r="D5" s="17">
        <f>COUNTIF('A2 Networks'!$E$4:$E$20,"Not started")</f>
        <v>17</v>
      </c>
      <c r="E5" s="17">
        <f>COUNTIF('A3 Databases'!$E4:$E21,"Not started")</f>
        <v>11</v>
      </c>
      <c r="F5" s="17">
        <f>COUNTIF('A4 Machine learning'!$E4:$E20,"Not started")</f>
        <v>17</v>
      </c>
      <c r="G5" s="17">
        <f>COUNTIF('B1 Computational thinking'!$E4:$E7,"Not started")</f>
        <v>4</v>
      </c>
      <c r="H5" s="17">
        <f>COUNTIF('B2 Programming'!$E4:$E21,"Not started")</f>
        <v>9</v>
      </c>
      <c r="I5" s="17">
        <f>COUNTIF('B3 Object-oriented programming'!$E4:$E13,"Not started")</f>
        <v>10</v>
      </c>
      <c r="J5" s="18">
        <f>COUNTIF('B4 Abstract data types (HL only'!$E4:$E9,"Not started")</f>
        <v>6</v>
      </c>
      <c r="K5" s="19">
        <f t="shared" si="1"/>
        <v>96</v>
      </c>
    </row>
    <row r="6" ht="22.5" customHeight="1">
      <c r="A6" s="14"/>
      <c r="B6" s="15" t="s">
        <v>19</v>
      </c>
      <c r="C6" s="16">
        <f>COUNTIF('A1 Computer fundamentals'!$E4:$E25,"Developing")</f>
        <v>0</v>
      </c>
      <c r="D6" s="17">
        <f>COUNTIF('A2 Networks'!$E$4:$E$20,"Developing")</f>
        <v>0</v>
      </c>
      <c r="E6" s="17">
        <f>COUNTIF('A3 Databases'!$E4:$E21,"Developing")</f>
        <v>0</v>
      </c>
      <c r="F6" s="17">
        <f>COUNTIF('A4 Machine learning'!$E4:$E20,"Developing")</f>
        <v>0</v>
      </c>
      <c r="G6" s="17">
        <f>COUNTIF('B1 Computational thinking'!$E4:$E7,"Developing")</f>
        <v>0</v>
      </c>
      <c r="H6" s="17">
        <f>COUNTIF('B2 Programming'!$E4:$E21,"Developing")</f>
        <v>0</v>
      </c>
      <c r="I6" s="17">
        <f>COUNTIF('B3 Object-oriented programming'!$E4:$E13,"Developing")</f>
        <v>0</v>
      </c>
      <c r="J6" s="18">
        <f>COUNTIF('B4 Abstract data types (HL only'!$E4:$E9,"Developing")</f>
        <v>0</v>
      </c>
      <c r="K6" s="19">
        <f t="shared" si="1"/>
        <v>0</v>
      </c>
    </row>
    <row r="7" ht="22.5" customHeight="1">
      <c r="A7" s="20"/>
      <c r="B7" s="21" t="s">
        <v>20</v>
      </c>
      <c r="C7" s="22">
        <f>COUNTIF('A1 Computer fundamentals'!$E4:$E25,"Secure")</f>
        <v>0</v>
      </c>
      <c r="D7" s="17">
        <f>COUNTIF('A2 Networks'!$E$4:$E$20,"Secure")</f>
        <v>0</v>
      </c>
      <c r="E7" s="23">
        <f>COUNTIF('A3 Databases'!$E4:$E21,"Secure")</f>
        <v>7</v>
      </c>
      <c r="F7" s="23">
        <f>COUNTIF('A4 Machine learning'!$E4:$E20,"Secure")</f>
        <v>0</v>
      </c>
      <c r="G7" s="23">
        <f>COUNTIF('B1 Computational thinking'!$E4:$E7,"Secure")</f>
        <v>0</v>
      </c>
      <c r="H7" s="23">
        <f>COUNTIF('B2 Programming'!$E4:$E21,"Secure")</f>
        <v>9</v>
      </c>
      <c r="I7" s="23">
        <f>COUNTIF('B3 Object-oriented programming'!$E4:$E13,"Secure")</f>
        <v>0</v>
      </c>
      <c r="J7" s="24">
        <f>COUNTIF('B4 Abstract data types (HL only'!$E4:$E9,"Secure")</f>
        <v>0</v>
      </c>
      <c r="K7" s="25">
        <f t="shared" si="1"/>
        <v>16</v>
      </c>
    </row>
  </sheetData>
  <dataValidations>
    <dataValidation type="custom" allowBlank="1" showDropDown="1" sqref="C2:K7">
      <formula1>AND(ISNUMBER(C2),(NOT(OR(NOT(ISERROR(DATEVALUE(C2))), AND(ISNUMBER(C2), LEFT(CELL("format", C2))="D")))))</formula1>
    </dataValidation>
    <dataValidation allowBlank="1" showDropDown="1" sqref="A2:B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4.0"/>
    <col customWidth="1" min="3" max="3" width="15.88"/>
    <col customWidth="1" min="4" max="4" width="21.0"/>
    <col customWidth="1" min="5" max="5" width="21.25"/>
  </cols>
  <sheetData>
    <row r="1">
      <c r="A1" s="27" t="s">
        <v>21</v>
      </c>
    </row>
    <row r="2">
      <c r="A2" s="28"/>
      <c r="B2" s="28"/>
      <c r="C2" s="28"/>
      <c r="D2" s="28"/>
      <c r="E2" s="28"/>
    </row>
    <row r="3" ht="22.5" customHeight="1">
      <c r="A3" s="29" t="s">
        <v>22</v>
      </c>
      <c r="B3" s="29" t="s">
        <v>23</v>
      </c>
      <c r="C3" s="29" t="s">
        <v>24</v>
      </c>
      <c r="D3" s="29" t="s">
        <v>14</v>
      </c>
      <c r="E3" s="29" t="s">
        <v>25</v>
      </c>
    </row>
    <row r="4" ht="22.5" customHeight="1">
      <c r="A4" s="30" t="s">
        <v>26</v>
      </c>
      <c r="B4" s="30" t="s">
        <v>27</v>
      </c>
      <c r="C4" s="31" t="s">
        <v>28</v>
      </c>
      <c r="D4" s="32" t="b">
        <v>0</v>
      </c>
      <c r="E4" s="33" t="s">
        <v>29</v>
      </c>
    </row>
    <row r="5" ht="22.5" customHeight="1">
      <c r="A5" s="34"/>
      <c r="B5" s="30" t="s">
        <v>30</v>
      </c>
      <c r="C5" s="31" t="s">
        <v>28</v>
      </c>
      <c r="D5" s="32" t="b">
        <v>0</v>
      </c>
      <c r="E5" s="33" t="s">
        <v>29</v>
      </c>
    </row>
    <row r="6" ht="22.5" customHeight="1">
      <c r="A6" s="34"/>
      <c r="B6" s="30" t="s">
        <v>31</v>
      </c>
      <c r="C6" s="31" t="s">
        <v>32</v>
      </c>
      <c r="D6" s="35" t="b">
        <v>0</v>
      </c>
      <c r="E6" s="33" t="s">
        <v>29</v>
      </c>
    </row>
    <row r="7" ht="22.5" customHeight="1">
      <c r="A7" s="34"/>
      <c r="B7" s="30" t="s">
        <v>33</v>
      </c>
      <c r="C7" s="31" t="s">
        <v>28</v>
      </c>
      <c r="D7" s="35" t="b">
        <v>0</v>
      </c>
      <c r="E7" s="33" t="s">
        <v>29</v>
      </c>
    </row>
    <row r="8" ht="22.5" customHeight="1">
      <c r="A8" s="34"/>
      <c r="B8" s="30" t="s">
        <v>34</v>
      </c>
      <c r="C8" s="31" t="s">
        <v>28</v>
      </c>
      <c r="D8" s="35" t="b">
        <v>0</v>
      </c>
      <c r="E8" s="33" t="s">
        <v>29</v>
      </c>
    </row>
    <row r="9" ht="22.5" customHeight="1">
      <c r="A9" s="34"/>
      <c r="B9" s="30" t="s">
        <v>35</v>
      </c>
      <c r="C9" s="31" t="s">
        <v>32</v>
      </c>
      <c r="D9" s="35" t="b">
        <v>0</v>
      </c>
      <c r="E9" s="33" t="s">
        <v>29</v>
      </c>
    </row>
    <row r="10" ht="22.5" customHeight="1">
      <c r="A10" s="34"/>
      <c r="B10" s="30" t="s">
        <v>36</v>
      </c>
      <c r="C10" s="31" t="s">
        <v>28</v>
      </c>
      <c r="D10" s="35" t="b">
        <v>0</v>
      </c>
      <c r="E10" s="33" t="s">
        <v>29</v>
      </c>
    </row>
    <row r="11" ht="22.5" customHeight="1">
      <c r="A11" s="34"/>
      <c r="B11" s="30" t="s">
        <v>37</v>
      </c>
      <c r="C11" s="31" t="s">
        <v>28</v>
      </c>
      <c r="D11" s="35" t="b">
        <v>0</v>
      </c>
      <c r="E11" s="33" t="s">
        <v>29</v>
      </c>
    </row>
    <row r="12" ht="22.5" customHeight="1">
      <c r="A12" s="34"/>
      <c r="B12" s="30" t="s">
        <v>38</v>
      </c>
      <c r="C12" s="31" t="s">
        <v>28</v>
      </c>
      <c r="D12" s="35" t="b">
        <v>0</v>
      </c>
      <c r="E12" s="33" t="s">
        <v>29</v>
      </c>
    </row>
    <row r="13" ht="22.5" customHeight="1">
      <c r="A13" s="30" t="s">
        <v>39</v>
      </c>
      <c r="B13" s="30" t="s">
        <v>40</v>
      </c>
      <c r="C13" s="31" t="s">
        <v>28</v>
      </c>
      <c r="D13" s="35" t="b">
        <v>0</v>
      </c>
      <c r="E13" s="33" t="s">
        <v>29</v>
      </c>
    </row>
    <row r="14" ht="22.5" customHeight="1">
      <c r="A14" s="34"/>
      <c r="B14" s="30" t="s">
        <v>41</v>
      </c>
      <c r="C14" s="31" t="s">
        <v>28</v>
      </c>
      <c r="D14" s="35" t="b">
        <v>0</v>
      </c>
      <c r="E14" s="33" t="s">
        <v>29</v>
      </c>
    </row>
    <row r="15" ht="22.5" customHeight="1">
      <c r="A15" s="34"/>
      <c r="B15" s="30" t="s">
        <v>42</v>
      </c>
      <c r="C15" s="31" t="s">
        <v>28</v>
      </c>
      <c r="D15" s="35" t="b">
        <v>0</v>
      </c>
      <c r="E15" s="33" t="s">
        <v>29</v>
      </c>
    </row>
    <row r="16" ht="22.5" customHeight="1">
      <c r="A16" s="34"/>
      <c r="B16" s="30" t="s">
        <v>43</v>
      </c>
      <c r="C16" s="31" t="s">
        <v>28</v>
      </c>
      <c r="D16" s="35" t="b">
        <v>0</v>
      </c>
      <c r="E16" s="33" t="s">
        <v>29</v>
      </c>
    </row>
    <row r="17" ht="22.5" customHeight="1">
      <c r="A17" s="34"/>
      <c r="B17" s="30" t="s">
        <v>44</v>
      </c>
      <c r="C17" s="31" t="s">
        <v>28</v>
      </c>
      <c r="D17" s="35" t="b">
        <v>0</v>
      </c>
      <c r="E17" s="33" t="s">
        <v>29</v>
      </c>
    </row>
    <row r="18" ht="22.5" customHeight="1">
      <c r="A18" s="30" t="s">
        <v>45</v>
      </c>
      <c r="B18" s="30" t="s">
        <v>46</v>
      </c>
      <c r="C18" s="31" t="s">
        <v>28</v>
      </c>
      <c r="D18" s="35" t="b">
        <v>0</v>
      </c>
      <c r="E18" s="33" t="s">
        <v>29</v>
      </c>
    </row>
    <row r="19" ht="22.5" customHeight="1">
      <c r="A19" s="34"/>
      <c r="B19" s="30" t="s">
        <v>47</v>
      </c>
      <c r="C19" s="31" t="s">
        <v>28</v>
      </c>
      <c r="D19" s="35" t="b">
        <v>0</v>
      </c>
      <c r="E19" s="33" t="s">
        <v>29</v>
      </c>
    </row>
    <row r="20" ht="22.5" customHeight="1">
      <c r="A20" s="34"/>
      <c r="B20" s="30" t="s">
        <v>48</v>
      </c>
      <c r="C20" s="31" t="s">
        <v>28</v>
      </c>
      <c r="D20" s="35" t="b">
        <v>0</v>
      </c>
      <c r="E20" s="33" t="s">
        <v>29</v>
      </c>
    </row>
    <row r="21" ht="22.5" customHeight="1">
      <c r="A21" s="34"/>
      <c r="B21" s="30" t="s">
        <v>49</v>
      </c>
      <c r="C21" s="31" t="s">
        <v>28</v>
      </c>
      <c r="D21" s="35" t="b">
        <v>0</v>
      </c>
      <c r="E21" s="33" t="s">
        <v>29</v>
      </c>
    </row>
    <row r="22" ht="22.5" customHeight="1">
      <c r="A22" s="34"/>
      <c r="B22" s="30" t="s">
        <v>50</v>
      </c>
      <c r="C22" s="31" t="s">
        <v>32</v>
      </c>
      <c r="D22" s="35" t="b">
        <v>0</v>
      </c>
      <c r="E22" s="33" t="s">
        <v>29</v>
      </c>
    </row>
    <row r="23" ht="22.5" customHeight="1">
      <c r="A23" s="34"/>
      <c r="B23" s="30" t="s">
        <v>51</v>
      </c>
      <c r="C23" s="31" t="s">
        <v>32</v>
      </c>
      <c r="D23" s="35" t="b">
        <v>0</v>
      </c>
      <c r="E23" s="33" t="s">
        <v>29</v>
      </c>
    </row>
    <row r="24" ht="22.5" customHeight="1">
      <c r="A24" s="34"/>
      <c r="B24" s="30" t="s">
        <v>52</v>
      </c>
      <c r="C24" s="31" t="s">
        <v>32</v>
      </c>
      <c r="D24" s="35" t="b">
        <v>0</v>
      </c>
      <c r="E24" s="33" t="s">
        <v>29</v>
      </c>
    </row>
    <row r="25" ht="22.5" customHeight="1">
      <c r="A25" s="30" t="s">
        <v>53</v>
      </c>
      <c r="B25" s="30" t="s">
        <v>54</v>
      </c>
      <c r="C25" s="31" t="s">
        <v>32</v>
      </c>
      <c r="D25" s="35" t="b">
        <v>0</v>
      </c>
      <c r="E25" s="33" t="s">
        <v>29</v>
      </c>
    </row>
    <row r="26">
      <c r="C26" s="36"/>
    </row>
    <row r="27">
      <c r="A27" s="37" t="s">
        <v>55</v>
      </c>
    </row>
    <row r="28">
      <c r="A28" s="27" t="s">
        <v>56</v>
      </c>
    </row>
    <row r="29">
      <c r="A29" s="27" t="s">
        <v>57</v>
      </c>
    </row>
    <row r="30">
      <c r="A30" s="27" t="s">
        <v>58</v>
      </c>
    </row>
    <row r="31">
      <c r="A31" s="27" t="s">
        <v>59</v>
      </c>
    </row>
    <row r="32">
      <c r="A32" s="27" t="s">
        <v>60</v>
      </c>
    </row>
    <row r="33">
      <c r="A33" s="27" t="s">
        <v>61</v>
      </c>
    </row>
  </sheetData>
  <dataValidations>
    <dataValidation type="list" allowBlank="1" sqref="E4:E25">
      <formula1>"Not started,Developing,Secure"</formula1>
    </dataValidation>
    <dataValidation type="list" allowBlank="1" showErrorMessage="1" sqref="C4:C25">
      <formula1>"SL,HL"</formula1>
    </dataValidation>
    <dataValidation allowBlank="1" showDropDown="1" sqref="A4:B25"/>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4.0"/>
    <col customWidth="1" min="3" max="3" width="15.88"/>
    <col customWidth="1" min="4" max="4" width="21.0"/>
    <col customWidth="1" min="5" max="5" width="21.25"/>
  </cols>
  <sheetData>
    <row r="1">
      <c r="A1" s="27" t="s">
        <v>21</v>
      </c>
    </row>
    <row r="2">
      <c r="A2" s="28"/>
      <c r="B2" s="28"/>
      <c r="C2" s="28"/>
      <c r="D2" s="28"/>
      <c r="E2" s="28"/>
    </row>
    <row r="3" ht="22.5" customHeight="1">
      <c r="A3" s="29" t="s">
        <v>22</v>
      </c>
      <c r="B3" s="29" t="s">
        <v>23</v>
      </c>
      <c r="C3" s="29" t="s">
        <v>24</v>
      </c>
      <c r="D3" s="29" t="s">
        <v>14</v>
      </c>
      <c r="E3" s="29" t="s">
        <v>25</v>
      </c>
    </row>
    <row r="4" ht="22.5" customHeight="1">
      <c r="A4" s="38" t="s">
        <v>62</v>
      </c>
      <c r="B4" s="38" t="s">
        <v>63</v>
      </c>
      <c r="C4" s="31" t="s">
        <v>28</v>
      </c>
      <c r="D4" s="32" t="b">
        <v>1</v>
      </c>
      <c r="E4" s="33" t="s">
        <v>29</v>
      </c>
    </row>
    <row r="5" ht="22.5" customHeight="1">
      <c r="A5" s="34"/>
      <c r="B5" s="38" t="s">
        <v>64</v>
      </c>
      <c r="C5" s="31" t="s">
        <v>28</v>
      </c>
      <c r="D5" s="32" t="b">
        <v>0</v>
      </c>
      <c r="E5" s="33" t="s">
        <v>29</v>
      </c>
    </row>
    <row r="6" ht="22.5" customHeight="1">
      <c r="A6" s="34"/>
      <c r="B6" s="38" t="s">
        <v>65</v>
      </c>
      <c r="C6" s="31" t="s">
        <v>28</v>
      </c>
      <c r="D6" s="35" t="b">
        <v>0</v>
      </c>
      <c r="E6" s="33" t="s">
        <v>29</v>
      </c>
    </row>
    <row r="7" ht="22.5" customHeight="1">
      <c r="A7" s="34"/>
      <c r="B7" s="38" t="s">
        <v>66</v>
      </c>
      <c r="C7" s="31" t="s">
        <v>28</v>
      </c>
      <c r="D7" s="35" t="b">
        <v>0</v>
      </c>
      <c r="E7" s="33" t="s">
        <v>29</v>
      </c>
    </row>
    <row r="8" ht="22.5" customHeight="1">
      <c r="A8" s="34"/>
      <c r="B8" s="38" t="s">
        <v>67</v>
      </c>
      <c r="C8" s="31" t="s">
        <v>32</v>
      </c>
      <c r="D8" s="35" t="b">
        <v>0</v>
      </c>
      <c r="E8" s="33" t="s">
        <v>29</v>
      </c>
    </row>
    <row r="9" ht="22.5" customHeight="1">
      <c r="A9" s="38" t="s">
        <v>68</v>
      </c>
      <c r="B9" s="38" t="s">
        <v>69</v>
      </c>
      <c r="C9" s="31" t="s">
        <v>28</v>
      </c>
      <c r="D9" s="35" t="b">
        <v>0</v>
      </c>
      <c r="E9" s="33" t="s">
        <v>29</v>
      </c>
    </row>
    <row r="10" ht="22.5" customHeight="1">
      <c r="A10" s="34"/>
      <c r="B10" s="38" t="s">
        <v>70</v>
      </c>
      <c r="C10" s="31" t="s">
        <v>32</v>
      </c>
      <c r="D10" s="35" t="b">
        <v>0</v>
      </c>
      <c r="E10" s="33" t="s">
        <v>29</v>
      </c>
    </row>
    <row r="11" ht="22.5" customHeight="1">
      <c r="A11" s="34"/>
      <c r="B11" s="38" t="s">
        <v>71</v>
      </c>
      <c r="C11" s="31" t="s">
        <v>28</v>
      </c>
      <c r="D11" s="35" t="b">
        <v>0</v>
      </c>
      <c r="E11" s="33" t="s">
        <v>29</v>
      </c>
    </row>
    <row r="12" ht="22.5" customHeight="1">
      <c r="A12" s="34"/>
      <c r="B12" s="38" t="s">
        <v>72</v>
      </c>
      <c r="C12" s="31" t="s">
        <v>28</v>
      </c>
      <c r="D12" s="35" t="b">
        <v>0</v>
      </c>
      <c r="E12" s="33" t="s">
        <v>29</v>
      </c>
    </row>
    <row r="13" ht="22.5" customHeight="1">
      <c r="A13" s="38" t="s">
        <v>73</v>
      </c>
      <c r="B13" s="38" t="s">
        <v>74</v>
      </c>
      <c r="C13" s="31" t="s">
        <v>28</v>
      </c>
      <c r="D13" s="35" t="b">
        <v>0</v>
      </c>
      <c r="E13" s="33" t="s">
        <v>29</v>
      </c>
    </row>
    <row r="14" ht="22.5" customHeight="1">
      <c r="A14" s="34"/>
      <c r="B14" s="38" t="s">
        <v>75</v>
      </c>
      <c r="C14" s="31" t="s">
        <v>28</v>
      </c>
      <c r="D14" s="35" t="b">
        <v>0</v>
      </c>
      <c r="E14" s="33" t="s">
        <v>29</v>
      </c>
    </row>
    <row r="15" ht="22.5" customHeight="1">
      <c r="A15" s="34"/>
      <c r="B15" s="38" t="s">
        <v>76</v>
      </c>
      <c r="C15" s="31" t="s">
        <v>28</v>
      </c>
      <c r="D15" s="35" t="b">
        <v>0</v>
      </c>
      <c r="E15" s="33" t="s">
        <v>29</v>
      </c>
    </row>
    <row r="16" ht="22.5" customHeight="1">
      <c r="A16" s="34"/>
      <c r="B16" s="38" t="s">
        <v>77</v>
      </c>
      <c r="C16" s="31" t="s">
        <v>28</v>
      </c>
      <c r="D16" s="35" t="b">
        <v>0</v>
      </c>
      <c r="E16" s="33" t="s">
        <v>29</v>
      </c>
    </row>
    <row r="17" ht="22.5" customHeight="1">
      <c r="A17" s="38" t="s">
        <v>78</v>
      </c>
      <c r="B17" s="38" t="s">
        <v>79</v>
      </c>
      <c r="C17" s="31" t="s">
        <v>28</v>
      </c>
      <c r="D17" s="35" t="b">
        <v>0</v>
      </c>
      <c r="E17" s="33" t="s">
        <v>29</v>
      </c>
    </row>
    <row r="18" ht="22.5" customHeight="1">
      <c r="A18" s="34"/>
      <c r="B18" s="38" t="s">
        <v>80</v>
      </c>
      <c r="C18" s="31" t="s">
        <v>32</v>
      </c>
      <c r="D18" s="35" t="b">
        <v>0</v>
      </c>
      <c r="E18" s="33" t="s">
        <v>29</v>
      </c>
    </row>
    <row r="19" ht="22.5" customHeight="1">
      <c r="A19" s="34"/>
      <c r="B19" s="38" t="s">
        <v>81</v>
      </c>
      <c r="C19" s="31" t="s">
        <v>32</v>
      </c>
      <c r="D19" s="35" t="b">
        <v>0</v>
      </c>
      <c r="E19" s="33" t="s">
        <v>29</v>
      </c>
    </row>
    <row r="20" ht="22.5" customHeight="1">
      <c r="A20" s="34"/>
      <c r="B20" s="38" t="s">
        <v>82</v>
      </c>
      <c r="C20" s="31" t="s">
        <v>28</v>
      </c>
      <c r="D20" s="35" t="b">
        <v>0</v>
      </c>
      <c r="E20" s="33" t="s">
        <v>29</v>
      </c>
    </row>
    <row r="21">
      <c r="C21" s="36"/>
    </row>
    <row r="22">
      <c r="A22" s="37" t="s">
        <v>55</v>
      </c>
    </row>
    <row r="23">
      <c r="A23" s="27" t="s">
        <v>83</v>
      </c>
    </row>
    <row r="24">
      <c r="A24" s="27" t="s">
        <v>84</v>
      </c>
    </row>
    <row r="25">
      <c r="A25" s="27" t="s">
        <v>85</v>
      </c>
    </row>
    <row r="26">
      <c r="A26" s="27" t="s">
        <v>86</v>
      </c>
    </row>
    <row r="27">
      <c r="A27" s="27" t="s">
        <v>87</v>
      </c>
    </row>
    <row r="28">
      <c r="A28" s="27" t="s">
        <v>88</v>
      </c>
    </row>
    <row r="29">
      <c r="A29" s="27" t="s">
        <v>89</v>
      </c>
    </row>
  </sheetData>
  <dataValidations>
    <dataValidation type="list" allowBlank="1" sqref="E4:E20">
      <formula1>"Not started,Developing,Secure"</formula1>
    </dataValidation>
    <dataValidation type="list" allowBlank="1" showErrorMessage="1" sqref="C4:C20">
      <formula1>"SL,HL"</formula1>
    </dataValidation>
    <dataValidation allowBlank="1" showDropDown="1" sqref="A4:B20"/>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9.88"/>
    <col customWidth="1" min="3" max="3" width="15.88"/>
    <col customWidth="1" min="4" max="4" width="21.0"/>
    <col customWidth="1" min="5" max="5" width="21.25"/>
  </cols>
  <sheetData>
    <row r="1">
      <c r="A1" s="27" t="s">
        <v>21</v>
      </c>
    </row>
    <row r="2">
      <c r="A2" s="28"/>
      <c r="B2" s="28"/>
      <c r="C2" s="28"/>
      <c r="D2" s="28"/>
      <c r="E2" s="28"/>
    </row>
    <row r="3" ht="22.5" customHeight="1">
      <c r="A3" s="29" t="s">
        <v>22</v>
      </c>
      <c r="B3" s="29" t="s">
        <v>23</v>
      </c>
      <c r="C3" s="29" t="s">
        <v>24</v>
      </c>
      <c r="D3" s="29" t="s">
        <v>14</v>
      </c>
      <c r="E3" s="29" t="s">
        <v>25</v>
      </c>
    </row>
    <row r="4" ht="22.5" customHeight="1">
      <c r="A4" s="38" t="s">
        <v>90</v>
      </c>
      <c r="B4" s="38" t="s">
        <v>91</v>
      </c>
      <c r="C4" s="31" t="s">
        <v>28</v>
      </c>
      <c r="D4" s="32" t="b">
        <v>1</v>
      </c>
      <c r="E4" s="33" t="s">
        <v>20</v>
      </c>
    </row>
    <row r="5" ht="22.5" customHeight="1">
      <c r="A5" s="38" t="s">
        <v>92</v>
      </c>
      <c r="B5" s="38" t="s">
        <v>93</v>
      </c>
      <c r="C5" s="31" t="s">
        <v>28</v>
      </c>
      <c r="D5" s="32" t="b">
        <v>1</v>
      </c>
      <c r="E5" s="33" t="s">
        <v>20</v>
      </c>
    </row>
    <row r="6" ht="22.5" customHeight="1">
      <c r="A6" s="34"/>
      <c r="B6" s="38" t="s">
        <v>94</v>
      </c>
      <c r="C6" s="31" t="s">
        <v>28</v>
      </c>
      <c r="D6" s="32" t="b">
        <v>1</v>
      </c>
      <c r="E6" s="33" t="s">
        <v>20</v>
      </c>
    </row>
    <row r="7" ht="22.5" customHeight="1">
      <c r="A7" s="34"/>
      <c r="B7" s="38" t="s">
        <v>95</v>
      </c>
      <c r="C7" s="31" t="s">
        <v>28</v>
      </c>
      <c r="D7" s="32" t="b">
        <v>1</v>
      </c>
      <c r="E7" s="33" t="s">
        <v>20</v>
      </c>
    </row>
    <row r="8" ht="22.5" customHeight="1">
      <c r="A8" s="34"/>
      <c r="B8" s="38" t="s">
        <v>96</v>
      </c>
      <c r="C8" s="31" t="s">
        <v>28</v>
      </c>
      <c r="D8" s="32" t="b">
        <v>1</v>
      </c>
      <c r="E8" s="33" t="s">
        <v>20</v>
      </c>
    </row>
    <row r="9" ht="22.5" customHeight="1">
      <c r="A9" s="34"/>
      <c r="B9" s="38" t="s">
        <v>97</v>
      </c>
      <c r="C9" s="31" t="s">
        <v>28</v>
      </c>
      <c r="D9" s="35" t="b">
        <v>0</v>
      </c>
      <c r="E9" s="33" t="s">
        <v>29</v>
      </c>
      <c r="F9" s="39">
        <v>45938.0</v>
      </c>
    </row>
    <row r="10" ht="22.5" customHeight="1">
      <c r="A10" s="34"/>
      <c r="B10" s="38" t="s">
        <v>98</v>
      </c>
      <c r="C10" s="31" t="s">
        <v>28</v>
      </c>
      <c r="D10" s="35" t="b">
        <v>0</v>
      </c>
      <c r="E10" s="33" t="s">
        <v>29</v>
      </c>
    </row>
    <row r="11" ht="22.5" customHeight="1">
      <c r="A11" s="34"/>
      <c r="B11" s="38" t="s">
        <v>99</v>
      </c>
      <c r="C11" s="31" t="s">
        <v>28</v>
      </c>
      <c r="D11" s="35" t="b">
        <v>0</v>
      </c>
      <c r="E11" s="33" t="s">
        <v>29</v>
      </c>
    </row>
    <row r="12" ht="22.5" customHeight="1">
      <c r="A12" s="38" t="s">
        <v>100</v>
      </c>
      <c r="B12" s="38" t="s">
        <v>101</v>
      </c>
      <c r="C12" s="31" t="s">
        <v>28</v>
      </c>
      <c r="D12" s="32" t="b">
        <v>1</v>
      </c>
      <c r="E12" s="33" t="s">
        <v>20</v>
      </c>
    </row>
    <row r="13" ht="22.5" customHeight="1">
      <c r="A13" s="34"/>
      <c r="B13" s="38" t="s">
        <v>102</v>
      </c>
      <c r="C13" s="31" t="s">
        <v>28</v>
      </c>
      <c r="D13" s="32" t="b">
        <v>1</v>
      </c>
      <c r="E13" s="33" t="s">
        <v>20</v>
      </c>
    </row>
    <row r="14" ht="22.5" customHeight="1">
      <c r="A14" s="34"/>
      <c r="B14" s="38" t="s">
        <v>103</v>
      </c>
      <c r="C14" s="31" t="s">
        <v>28</v>
      </c>
      <c r="D14" s="32" t="b">
        <v>1</v>
      </c>
      <c r="E14" s="33" t="s">
        <v>29</v>
      </c>
    </row>
    <row r="15" ht="22.5" customHeight="1">
      <c r="A15" s="34"/>
      <c r="B15" s="38" t="s">
        <v>104</v>
      </c>
      <c r="C15" s="31" t="s">
        <v>32</v>
      </c>
      <c r="D15" s="35" t="b">
        <v>0</v>
      </c>
      <c r="E15" s="33" t="s">
        <v>29</v>
      </c>
    </row>
    <row r="16" ht="22.5" customHeight="1">
      <c r="A16" s="34"/>
      <c r="B16" s="38" t="s">
        <v>105</v>
      </c>
      <c r="C16" s="31" t="s">
        <v>32</v>
      </c>
      <c r="D16" s="35" t="b">
        <v>0</v>
      </c>
      <c r="E16" s="33" t="s">
        <v>29</v>
      </c>
    </row>
    <row r="17" ht="22.5" customHeight="1">
      <c r="A17" s="34"/>
      <c r="B17" s="38" t="s">
        <v>106</v>
      </c>
      <c r="C17" s="31" t="s">
        <v>32</v>
      </c>
      <c r="D17" s="35" t="b">
        <v>0</v>
      </c>
      <c r="E17" s="33" t="s">
        <v>29</v>
      </c>
    </row>
    <row r="18" ht="22.5" customHeight="1">
      <c r="A18" s="38" t="s">
        <v>107</v>
      </c>
      <c r="B18" s="38" t="s">
        <v>108</v>
      </c>
      <c r="C18" s="31" t="s">
        <v>28</v>
      </c>
      <c r="D18" s="35" t="b">
        <v>0</v>
      </c>
      <c r="E18" s="33" t="s">
        <v>29</v>
      </c>
      <c r="F18" s="27" t="s">
        <v>109</v>
      </c>
    </row>
    <row r="19" ht="22.5" customHeight="1">
      <c r="A19" s="34"/>
      <c r="B19" s="38" t="s">
        <v>110</v>
      </c>
      <c r="C19" s="31" t="s">
        <v>28</v>
      </c>
      <c r="D19" s="35" t="b">
        <v>0</v>
      </c>
      <c r="E19" s="33" t="s">
        <v>29</v>
      </c>
    </row>
    <row r="20" ht="22.5" customHeight="1">
      <c r="A20" s="34"/>
      <c r="B20" s="38" t="s">
        <v>111</v>
      </c>
      <c r="C20" s="31" t="s">
        <v>28</v>
      </c>
      <c r="D20" s="35" t="b">
        <v>0</v>
      </c>
      <c r="E20" s="33" t="s">
        <v>29</v>
      </c>
    </row>
    <row r="21" ht="22.5" customHeight="1">
      <c r="A21" s="34"/>
      <c r="B21" s="38" t="s">
        <v>112</v>
      </c>
      <c r="C21" s="31" t="s">
        <v>28</v>
      </c>
      <c r="D21" s="35" t="b">
        <v>0</v>
      </c>
      <c r="E21" s="33" t="s">
        <v>29</v>
      </c>
    </row>
    <row r="22">
      <c r="C22" s="36"/>
    </row>
    <row r="23">
      <c r="A23" s="37" t="s">
        <v>55</v>
      </c>
    </row>
    <row r="24">
      <c r="A24" s="27" t="s">
        <v>113</v>
      </c>
    </row>
    <row r="25">
      <c r="A25" s="27" t="s">
        <v>114</v>
      </c>
    </row>
    <row r="26">
      <c r="A26" s="27" t="s">
        <v>115</v>
      </c>
    </row>
    <row r="27">
      <c r="A27" s="27" t="s">
        <v>116</v>
      </c>
    </row>
    <row r="28">
      <c r="A28" s="27" t="s">
        <v>117</v>
      </c>
    </row>
  </sheetData>
  <mergeCells count="2">
    <mergeCell ref="F9:F11"/>
    <mergeCell ref="F18:F21"/>
  </mergeCells>
  <dataValidations>
    <dataValidation type="list" allowBlank="1" sqref="E4:E21">
      <formula1>"Not started,Developing,Secure"</formula1>
    </dataValidation>
    <dataValidation type="list" allowBlank="1" showErrorMessage="1" sqref="C4:C21">
      <formula1>"SL,HL"</formula1>
    </dataValidation>
    <dataValidation allowBlank="1" showDropDown="1" sqref="A4:B21"/>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108.0"/>
  </cols>
  <sheetData>
    <row r="1">
      <c r="A1" s="27" t="s">
        <v>118</v>
      </c>
    </row>
    <row r="2">
      <c r="A2" s="28"/>
      <c r="B2" s="28"/>
      <c r="C2" s="28"/>
      <c r="D2" s="28"/>
      <c r="E2" s="28"/>
    </row>
    <row r="3" ht="22.5" customHeight="1">
      <c r="A3" s="29" t="s">
        <v>22</v>
      </c>
      <c r="B3" s="29" t="s">
        <v>23</v>
      </c>
      <c r="C3" s="29" t="s">
        <v>24</v>
      </c>
      <c r="D3" s="29" t="s">
        <v>14</v>
      </c>
      <c r="E3" s="29" t="s">
        <v>25</v>
      </c>
    </row>
    <row r="4" ht="22.5" customHeight="1">
      <c r="A4" s="38" t="s">
        <v>119</v>
      </c>
      <c r="B4" s="38" t="s">
        <v>120</v>
      </c>
      <c r="C4" s="31" t="s">
        <v>28</v>
      </c>
      <c r="D4" s="32" t="b">
        <v>0</v>
      </c>
      <c r="E4" s="33" t="s">
        <v>29</v>
      </c>
    </row>
    <row r="5" ht="22.5" customHeight="1">
      <c r="A5" s="34"/>
      <c r="B5" s="38" t="s">
        <v>121</v>
      </c>
      <c r="C5" s="31" t="s">
        <v>28</v>
      </c>
      <c r="D5" s="32" t="b">
        <v>0</v>
      </c>
      <c r="E5" s="33" t="s">
        <v>29</v>
      </c>
    </row>
    <row r="6" ht="22.5" customHeight="1">
      <c r="A6" s="38" t="s">
        <v>122</v>
      </c>
      <c r="B6" s="38" t="s">
        <v>123</v>
      </c>
      <c r="C6" s="31" t="s">
        <v>32</v>
      </c>
      <c r="D6" s="35" t="b">
        <v>0</v>
      </c>
      <c r="E6" s="33" t="s">
        <v>29</v>
      </c>
    </row>
    <row r="7" ht="22.5" customHeight="1">
      <c r="A7" s="34"/>
      <c r="B7" s="38" t="s">
        <v>124</v>
      </c>
      <c r="C7" s="31" t="s">
        <v>32</v>
      </c>
      <c r="D7" s="35" t="b">
        <v>0</v>
      </c>
      <c r="E7" s="33" t="s">
        <v>29</v>
      </c>
    </row>
    <row r="8" ht="22.5" customHeight="1">
      <c r="A8" s="34"/>
      <c r="B8" s="38" t="s">
        <v>125</v>
      </c>
      <c r="C8" s="31" t="s">
        <v>32</v>
      </c>
      <c r="D8" s="35" t="b">
        <v>0</v>
      </c>
      <c r="E8" s="33" t="s">
        <v>29</v>
      </c>
    </row>
    <row r="9" ht="22.5" customHeight="1">
      <c r="A9" s="38" t="s">
        <v>126</v>
      </c>
      <c r="B9" s="38" t="s">
        <v>127</v>
      </c>
      <c r="C9" s="31" t="s">
        <v>32</v>
      </c>
      <c r="D9" s="35" t="b">
        <v>0</v>
      </c>
      <c r="E9" s="33" t="s">
        <v>29</v>
      </c>
    </row>
    <row r="10" ht="22.5" customHeight="1">
      <c r="A10" s="34"/>
      <c r="B10" s="38" t="s">
        <v>128</v>
      </c>
      <c r="C10" s="31" t="s">
        <v>32</v>
      </c>
      <c r="D10" s="35" t="b">
        <v>0</v>
      </c>
      <c r="E10" s="33" t="s">
        <v>29</v>
      </c>
    </row>
    <row r="11" ht="22.5" customHeight="1">
      <c r="A11" s="34"/>
      <c r="B11" s="38" t="s">
        <v>129</v>
      </c>
      <c r="C11" s="31" t="s">
        <v>32</v>
      </c>
      <c r="D11" s="35" t="b">
        <v>0</v>
      </c>
      <c r="E11" s="33" t="s">
        <v>29</v>
      </c>
    </row>
    <row r="12" ht="22.5" customHeight="1">
      <c r="A12" s="34"/>
      <c r="B12" s="38" t="s">
        <v>130</v>
      </c>
      <c r="C12" s="31" t="s">
        <v>32</v>
      </c>
      <c r="D12" s="35" t="b">
        <v>0</v>
      </c>
      <c r="E12" s="33" t="s">
        <v>29</v>
      </c>
    </row>
    <row r="13" ht="22.5" customHeight="1">
      <c r="A13" s="34"/>
      <c r="B13" s="38" t="s">
        <v>131</v>
      </c>
      <c r="C13" s="31" t="s">
        <v>32</v>
      </c>
      <c r="D13" s="35" t="b">
        <v>0</v>
      </c>
      <c r="E13" s="33" t="s">
        <v>29</v>
      </c>
    </row>
    <row r="14" ht="22.5" customHeight="1">
      <c r="A14" s="34"/>
      <c r="B14" s="38" t="s">
        <v>132</v>
      </c>
      <c r="C14" s="31" t="s">
        <v>32</v>
      </c>
      <c r="D14" s="35" t="b">
        <v>0</v>
      </c>
      <c r="E14" s="33" t="s">
        <v>29</v>
      </c>
    </row>
    <row r="15" ht="22.5" customHeight="1">
      <c r="A15" s="34"/>
      <c r="B15" s="38" t="s">
        <v>133</v>
      </c>
      <c r="C15" s="31" t="s">
        <v>32</v>
      </c>
      <c r="D15" s="35" t="b">
        <v>0</v>
      </c>
      <c r="E15" s="33" t="s">
        <v>29</v>
      </c>
    </row>
    <row r="16" ht="22.5" customHeight="1">
      <c r="A16" s="34"/>
      <c r="B16" s="38" t="s">
        <v>134</v>
      </c>
      <c r="C16" s="31" t="s">
        <v>32</v>
      </c>
      <c r="D16" s="35" t="b">
        <v>0</v>
      </c>
      <c r="E16" s="33" t="s">
        <v>29</v>
      </c>
    </row>
    <row r="17" ht="22.5" customHeight="1">
      <c r="A17" s="34"/>
      <c r="B17" s="38" t="s">
        <v>135</v>
      </c>
      <c r="C17" s="31" t="s">
        <v>32</v>
      </c>
      <c r="D17" s="35" t="b">
        <v>0</v>
      </c>
      <c r="E17" s="33" t="s">
        <v>29</v>
      </c>
    </row>
    <row r="18" ht="22.5" customHeight="1">
      <c r="A18" s="34"/>
      <c r="B18" s="38" t="s">
        <v>136</v>
      </c>
      <c r="C18" s="31" t="s">
        <v>32</v>
      </c>
      <c r="D18" s="35" t="b">
        <v>0</v>
      </c>
      <c r="E18" s="33" t="s">
        <v>29</v>
      </c>
    </row>
    <row r="19" ht="22.5" customHeight="1">
      <c r="A19" s="38" t="s">
        <v>137</v>
      </c>
      <c r="B19" s="38" t="s">
        <v>138</v>
      </c>
      <c r="C19" s="31" t="s">
        <v>28</v>
      </c>
      <c r="D19" s="35" t="b">
        <v>0</v>
      </c>
      <c r="E19" s="33" t="s">
        <v>29</v>
      </c>
    </row>
    <row r="20" ht="22.5" customHeight="1">
      <c r="A20" s="34"/>
      <c r="B20" s="38" t="s">
        <v>139</v>
      </c>
      <c r="C20" s="31" t="s">
        <v>28</v>
      </c>
      <c r="D20" s="35" t="b">
        <v>0</v>
      </c>
      <c r="E20" s="33" t="s">
        <v>29</v>
      </c>
    </row>
    <row r="23">
      <c r="A23" s="37" t="s">
        <v>140</v>
      </c>
    </row>
    <row r="24">
      <c r="A24" s="27" t="s">
        <v>141</v>
      </c>
    </row>
    <row r="25">
      <c r="A25" s="27" t="s">
        <v>142</v>
      </c>
    </row>
    <row r="26">
      <c r="A26" s="27" t="s">
        <v>143</v>
      </c>
    </row>
    <row r="27">
      <c r="A27" s="27" t="s">
        <v>144</v>
      </c>
    </row>
    <row r="28">
      <c r="A28" s="27" t="s">
        <v>145</v>
      </c>
    </row>
    <row r="29">
      <c r="A29" s="27" t="s">
        <v>146</v>
      </c>
    </row>
  </sheetData>
  <dataValidations>
    <dataValidation type="list" allowBlank="1" sqref="E4:E20">
      <formula1>"Not started,Developing,Secure"</formula1>
    </dataValidation>
    <dataValidation type="list" allowBlank="1" showErrorMessage="1" sqref="C4:C20">
      <formula1>"SL,HL"</formula1>
    </dataValidation>
    <dataValidation allowBlank="1" showDropDown="1" sqref="A4:B20"/>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105.0"/>
    <col customWidth="1" min="3" max="3" width="15.88"/>
    <col customWidth="1" min="4" max="4" width="21.0"/>
    <col customWidth="1" min="5" max="5" width="21.25"/>
  </cols>
  <sheetData>
    <row r="1">
      <c r="A1" s="27" t="s">
        <v>147</v>
      </c>
    </row>
    <row r="2">
      <c r="A2" s="28"/>
      <c r="B2" s="28"/>
      <c r="C2" s="28"/>
      <c r="D2" s="28"/>
      <c r="E2" s="28"/>
    </row>
    <row r="3" ht="22.5" customHeight="1">
      <c r="A3" s="29" t="s">
        <v>22</v>
      </c>
      <c r="B3" s="29" t="s">
        <v>23</v>
      </c>
      <c r="C3" s="29" t="s">
        <v>24</v>
      </c>
      <c r="D3" s="29" t="s">
        <v>14</v>
      </c>
      <c r="E3" s="29" t="s">
        <v>25</v>
      </c>
    </row>
    <row r="4" ht="22.5" customHeight="1">
      <c r="A4" s="38" t="s">
        <v>148</v>
      </c>
      <c r="B4" s="38" t="s">
        <v>149</v>
      </c>
      <c r="C4" s="31" t="s">
        <v>28</v>
      </c>
      <c r="D4" s="32" t="b">
        <v>1</v>
      </c>
      <c r="E4" s="33" t="s">
        <v>29</v>
      </c>
    </row>
    <row r="5" ht="22.5" customHeight="1">
      <c r="A5" s="34"/>
      <c r="B5" s="38" t="s">
        <v>150</v>
      </c>
      <c r="C5" s="31" t="s">
        <v>28</v>
      </c>
      <c r="D5" s="32" t="b">
        <v>1</v>
      </c>
      <c r="E5" s="33" t="s">
        <v>29</v>
      </c>
    </row>
    <row r="6" ht="22.5" customHeight="1">
      <c r="A6" s="34"/>
      <c r="B6" s="38" t="s">
        <v>151</v>
      </c>
      <c r="C6" s="31" t="s">
        <v>28</v>
      </c>
      <c r="D6" s="32" t="b">
        <v>1</v>
      </c>
      <c r="E6" s="33" t="s">
        <v>29</v>
      </c>
    </row>
    <row r="7" ht="22.5" customHeight="1">
      <c r="A7" s="34"/>
      <c r="B7" s="38" t="s">
        <v>152</v>
      </c>
      <c r="C7" s="31" t="s">
        <v>28</v>
      </c>
      <c r="D7" s="32" t="b">
        <v>1</v>
      </c>
      <c r="E7" s="33" t="s">
        <v>29</v>
      </c>
    </row>
    <row r="8">
      <c r="C8" s="36"/>
    </row>
    <row r="9">
      <c r="A9" s="37" t="s">
        <v>55</v>
      </c>
    </row>
    <row r="10">
      <c r="A10" s="27" t="s">
        <v>153</v>
      </c>
    </row>
    <row r="11">
      <c r="A11" s="27" t="s">
        <v>154</v>
      </c>
    </row>
  </sheetData>
  <dataValidations>
    <dataValidation type="list" allowBlank="1" sqref="E4:E7">
      <formula1>"Not started,Developing,Secure"</formula1>
    </dataValidation>
    <dataValidation type="list" allowBlank="1" showErrorMessage="1" sqref="C4:C7">
      <formula1>"SL,HL"</formula1>
    </dataValidation>
    <dataValidation allowBlank="1" showDropDown="1" sqref="A4:B7"/>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97.13"/>
    <col customWidth="1" min="3" max="3" width="15.88"/>
    <col customWidth="1" min="4" max="4" width="21.0"/>
    <col customWidth="1" min="5" max="5" width="21.25"/>
  </cols>
  <sheetData>
    <row r="1">
      <c r="A1" s="27" t="s">
        <v>155</v>
      </c>
    </row>
    <row r="2">
      <c r="A2" s="28"/>
      <c r="B2" s="28"/>
      <c r="C2" s="28"/>
      <c r="D2" s="28"/>
      <c r="E2" s="28"/>
    </row>
    <row r="3" ht="22.5" customHeight="1">
      <c r="A3" s="29" t="s">
        <v>22</v>
      </c>
      <c r="B3" s="29" t="s">
        <v>23</v>
      </c>
      <c r="C3" s="29" t="s">
        <v>24</v>
      </c>
      <c r="D3" s="29" t="s">
        <v>14</v>
      </c>
      <c r="E3" s="29" t="s">
        <v>25</v>
      </c>
    </row>
    <row r="4" ht="22.5" customHeight="1">
      <c r="A4" s="30" t="s">
        <v>156</v>
      </c>
      <c r="B4" s="38" t="s">
        <v>157</v>
      </c>
      <c r="C4" s="31" t="s">
        <v>28</v>
      </c>
      <c r="D4" s="32" t="b">
        <v>1</v>
      </c>
      <c r="E4" s="33" t="s">
        <v>20</v>
      </c>
    </row>
    <row r="5" ht="22.5" customHeight="1">
      <c r="A5" s="34"/>
      <c r="B5" s="38" t="s">
        <v>158</v>
      </c>
      <c r="C5" s="31" t="s">
        <v>28</v>
      </c>
      <c r="D5" s="32" t="b">
        <v>1</v>
      </c>
      <c r="E5" s="33" t="s">
        <v>20</v>
      </c>
    </row>
    <row r="6" ht="22.5" customHeight="1">
      <c r="A6" s="34"/>
      <c r="B6" s="38" t="s">
        <v>159</v>
      </c>
      <c r="C6" s="31" t="s">
        <v>28</v>
      </c>
      <c r="D6" s="32" t="b">
        <v>1</v>
      </c>
      <c r="E6" s="33" t="s">
        <v>20</v>
      </c>
    </row>
    <row r="7" ht="22.5" customHeight="1">
      <c r="A7" s="34"/>
      <c r="B7" s="38" t="s">
        <v>160</v>
      </c>
      <c r="C7" s="31" t="s">
        <v>28</v>
      </c>
      <c r="D7" s="32" t="b">
        <v>1</v>
      </c>
      <c r="E7" s="33" t="s">
        <v>20</v>
      </c>
    </row>
    <row r="8" ht="22.5" customHeight="1">
      <c r="A8" s="38" t="s">
        <v>161</v>
      </c>
      <c r="B8" s="38" t="s">
        <v>162</v>
      </c>
      <c r="C8" s="31" t="s">
        <v>28</v>
      </c>
      <c r="D8" s="32" t="b">
        <v>1</v>
      </c>
      <c r="E8" s="33" t="s">
        <v>20</v>
      </c>
    </row>
    <row r="9" ht="22.5" customHeight="1">
      <c r="A9" s="34"/>
      <c r="B9" s="38" t="s">
        <v>163</v>
      </c>
      <c r="C9" s="31" t="s">
        <v>28</v>
      </c>
      <c r="D9" s="32" t="b">
        <v>1</v>
      </c>
      <c r="E9" s="33" t="s">
        <v>20</v>
      </c>
    </row>
    <row r="10" ht="22.5" customHeight="1">
      <c r="A10" s="34"/>
      <c r="B10" s="38" t="s">
        <v>164</v>
      </c>
      <c r="C10" s="31" t="s">
        <v>28</v>
      </c>
      <c r="D10" s="35" t="b">
        <v>0</v>
      </c>
      <c r="E10" s="33" t="s">
        <v>29</v>
      </c>
    </row>
    <row r="11" ht="22.5" customHeight="1">
      <c r="A11" s="34"/>
      <c r="B11" s="38" t="s">
        <v>165</v>
      </c>
      <c r="C11" s="31" t="s">
        <v>28</v>
      </c>
      <c r="D11" s="35" t="b">
        <v>0</v>
      </c>
      <c r="E11" s="33" t="s">
        <v>29</v>
      </c>
    </row>
    <row r="12" ht="22.5" customHeight="1">
      <c r="A12" s="38" t="s">
        <v>166</v>
      </c>
      <c r="B12" s="38" t="s">
        <v>167</v>
      </c>
      <c r="C12" s="31" t="s">
        <v>28</v>
      </c>
      <c r="D12" s="35" t="b">
        <v>0</v>
      </c>
      <c r="E12" s="33" t="s">
        <v>29</v>
      </c>
    </row>
    <row r="13" ht="22.5" customHeight="1">
      <c r="A13" s="34"/>
      <c r="B13" s="38" t="s">
        <v>168</v>
      </c>
      <c r="C13" s="31" t="s">
        <v>28</v>
      </c>
      <c r="D13" s="35" t="b">
        <v>0</v>
      </c>
      <c r="E13" s="33" t="s">
        <v>29</v>
      </c>
    </row>
    <row r="14" ht="22.5" customHeight="1">
      <c r="A14" s="34"/>
      <c r="B14" s="38" t="s">
        <v>169</v>
      </c>
      <c r="C14" s="31" t="s">
        <v>28</v>
      </c>
      <c r="D14" s="35" t="b">
        <v>0</v>
      </c>
      <c r="E14" s="33" t="s">
        <v>29</v>
      </c>
    </row>
    <row r="15" ht="22.5" customHeight="1">
      <c r="A15" s="34"/>
      <c r="B15" s="38" t="s">
        <v>170</v>
      </c>
      <c r="C15" s="31" t="s">
        <v>28</v>
      </c>
      <c r="D15" s="35" t="b">
        <v>0</v>
      </c>
      <c r="E15" s="33" t="s">
        <v>29</v>
      </c>
    </row>
    <row r="16" ht="22.5" customHeight="1">
      <c r="A16" s="38" t="s">
        <v>171</v>
      </c>
      <c r="B16" s="38" t="s">
        <v>172</v>
      </c>
      <c r="C16" s="31" t="s">
        <v>28</v>
      </c>
      <c r="D16" s="32" t="b">
        <v>1</v>
      </c>
      <c r="E16" s="33" t="s">
        <v>20</v>
      </c>
    </row>
    <row r="17" ht="22.5" customHeight="1">
      <c r="A17" s="34"/>
      <c r="B17" s="38" t="s">
        <v>173</v>
      </c>
      <c r="C17" s="31" t="s">
        <v>28</v>
      </c>
      <c r="D17" s="32" t="b">
        <v>1</v>
      </c>
      <c r="E17" s="33" t="s">
        <v>20</v>
      </c>
    </row>
    <row r="18" ht="22.5" customHeight="1">
      <c r="A18" s="34"/>
      <c r="B18" s="38" t="s">
        <v>174</v>
      </c>
      <c r="C18" s="31" t="s">
        <v>28</v>
      </c>
      <c r="D18" s="32" t="b">
        <v>1</v>
      </c>
      <c r="E18" s="33" t="s">
        <v>20</v>
      </c>
    </row>
    <row r="19" ht="22.5" customHeight="1">
      <c r="A19" s="34"/>
      <c r="B19" s="38" t="s">
        <v>175</v>
      </c>
      <c r="C19" s="31" t="s">
        <v>32</v>
      </c>
      <c r="D19" s="35" t="b">
        <v>0</v>
      </c>
      <c r="E19" s="33" t="s">
        <v>29</v>
      </c>
    </row>
    <row r="20" ht="22.5" customHeight="1">
      <c r="A20" s="34"/>
      <c r="B20" s="38" t="s">
        <v>176</v>
      </c>
      <c r="C20" s="31" t="s">
        <v>32</v>
      </c>
      <c r="D20" s="35" t="b">
        <v>0</v>
      </c>
      <c r="E20" s="33" t="s">
        <v>29</v>
      </c>
    </row>
    <row r="21" ht="22.5" customHeight="1">
      <c r="A21" s="38" t="s">
        <v>177</v>
      </c>
      <c r="B21" s="38" t="s">
        <v>178</v>
      </c>
      <c r="C21" s="31" t="s">
        <v>28</v>
      </c>
      <c r="D21" s="35" t="b">
        <v>0</v>
      </c>
      <c r="E21" s="33" t="s">
        <v>29</v>
      </c>
    </row>
    <row r="22">
      <c r="C22" s="36"/>
    </row>
    <row r="23">
      <c r="A23" s="37" t="s">
        <v>55</v>
      </c>
    </row>
    <row r="24">
      <c r="A24" s="27" t="s">
        <v>179</v>
      </c>
    </row>
    <row r="25">
      <c r="A25" s="27" t="s">
        <v>180</v>
      </c>
    </row>
    <row r="26">
      <c r="A26" s="27" t="s">
        <v>181</v>
      </c>
    </row>
    <row r="27">
      <c r="A27" s="27" t="s">
        <v>182</v>
      </c>
    </row>
    <row r="28">
      <c r="A28" s="27" t="s">
        <v>183</v>
      </c>
    </row>
    <row r="29">
      <c r="A29" s="27" t="s">
        <v>184</v>
      </c>
    </row>
    <row r="30">
      <c r="A30" s="27" t="s">
        <v>185</v>
      </c>
    </row>
    <row r="31">
      <c r="A31" s="27" t="s">
        <v>186</v>
      </c>
    </row>
  </sheetData>
  <dataValidations>
    <dataValidation type="list" allowBlank="1" sqref="E4:E21">
      <formula1>"Not started,Developing,Secure"</formula1>
    </dataValidation>
    <dataValidation type="list" allowBlank="1" showErrorMessage="1" sqref="C4:C21">
      <formula1>"SL,HL"</formula1>
    </dataValidation>
    <dataValidation allowBlank="1" showDropDown="1" sqref="A4:B21"/>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74.0"/>
    <col customWidth="1" min="3" max="3" width="15.88"/>
    <col customWidth="1" min="4" max="4" width="21.0"/>
    <col customWidth="1" min="5" max="5" width="21.25"/>
  </cols>
  <sheetData>
    <row r="1">
      <c r="A1" s="27" t="s">
        <v>187</v>
      </c>
    </row>
    <row r="2">
      <c r="A2" s="28"/>
      <c r="B2" s="28"/>
      <c r="C2" s="28"/>
      <c r="D2" s="28"/>
      <c r="E2" s="28"/>
    </row>
    <row r="3" ht="22.5" customHeight="1">
      <c r="A3" s="29" t="s">
        <v>22</v>
      </c>
      <c r="B3" s="29" t="s">
        <v>23</v>
      </c>
      <c r="C3" s="29" t="s">
        <v>24</v>
      </c>
      <c r="D3" s="29" t="s">
        <v>14</v>
      </c>
      <c r="E3" s="29" t="s">
        <v>25</v>
      </c>
    </row>
    <row r="4" ht="22.5" customHeight="1">
      <c r="A4" s="38" t="s">
        <v>188</v>
      </c>
      <c r="B4" s="38" t="s">
        <v>189</v>
      </c>
      <c r="C4" s="31" t="s">
        <v>28</v>
      </c>
      <c r="D4" s="32" t="b">
        <v>0</v>
      </c>
      <c r="E4" s="33" t="s">
        <v>29</v>
      </c>
    </row>
    <row r="5" ht="22.5" customHeight="1">
      <c r="A5" s="34"/>
      <c r="B5" s="38" t="s">
        <v>190</v>
      </c>
      <c r="C5" s="31" t="s">
        <v>28</v>
      </c>
      <c r="D5" s="32" t="b">
        <v>0</v>
      </c>
      <c r="E5" s="33" t="s">
        <v>29</v>
      </c>
    </row>
    <row r="6" ht="22.5" customHeight="1">
      <c r="A6" s="34"/>
      <c r="B6" s="38" t="s">
        <v>191</v>
      </c>
      <c r="C6" s="31" t="s">
        <v>28</v>
      </c>
      <c r="D6" s="35" t="b">
        <v>0</v>
      </c>
      <c r="E6" s="33" t="s">
        <v>29</v>
      </c>
    </row>
    <row r="7" ht="22.5" customHeight="1">
      <c r="A7" s="34"/>
      <c r="B7" s="38" t="s">
        <v>192</v>
      </c>
      <c r="C7" s="31" t="s">
        <v>28</v>
      </c>
      <c r="D7" s="35" t="b">
        <v>0</v>
      </c>
      <c r="E7" s="33" t="s">
        <v>29</v>
      </c>
    </row>
    <row r="8" ht="22.5" customHeight="1">
      <c r="A8" s="34"/>
      <c r="B8" s="38" t="s">
        <v>193</v>
      </c>
      <c r="C8" s="31" t="s">
        <v>28</v>
      </c>
      <c r="D8" s="35" t="b">
        <v>0</v>
      </c>
      <c r="E8" s="33" t="s">
        <v>29</v>
      </c>
    </row>
    <row r="9" ht="22.5" customHeight="1">
      <c r="A9" s="38" t="s">
        <v>194</v>
      </c>
      <c r="B9" s="38" t="s">
        <v>195</v>
      </c>
      <c r="C9" s="31" t="s">
        <v>28</v>
      </c>
      <c r="D9" s="35" t="b">
        <v>0</v>
      </c>
      <c r="E9" s="33" t="s">
        <v>29</v>
      </c>
    </row>
    <row r="10" ht="22.5" customHeight="1">
      <c r="A10" s="34"/>
      <c r="B10" s="38" t="s">
        <v>196</v>
      </c>
      <c r="C10" s="31" t="s">
        <v>28</v>
      </c>
      <c r="D10" s="35" t="b">
        <v>0</v>
      </c>
      <c r="E10" s="33" t="s">
        <v>29</v>
      </c>
    </row>
    <row r="11" ht="22.5" customHeight="1">
      <c r="A11" s="34"/>
      <c r="B11" s="38" t="s">
        <v>197</v>
      </c>
      <c r="C11" s="31" t="s">
        <v>28</v>
      </c>
      <c r="D11" s="35" t="b">
        <v>0</v>
      </c>
      <c r="E11" s="33" t="s">
        <v>29</v>
      </c>
    </row>
    <row r="12" ht="22.5" customHeight="1">
      <c r="A12" s="34"/>
      <c r="B12" s="38" t="s">
        <v>198</v>
      </c>
      <c r="C12" s="31" t="s">
        <v>28</v>
      </c>
      <c r="D12" s="35" t="b">
        <v>0</v>
      </c>
      <c r="E12" s="33" t="s">
        <v>29</v>
      </c>
    </row>
    <row r="13" ht="22.5" customHeight="1">
      <c r="A13" s="34"/>
      <c r="B13" s="38" t="s">
        <v>199</v>
      </c>
      <c r="C13" s="31" t="s">
        <v>28</v>
      </c>
      <c r="D13" s="35" t="b">
        <v>0</v>
      </c>
      <c r="E13" s="33" t="s">
        <v>29</v>
      </c>
    </row>
    <row r="14">
      <c r="C14" s="36"/>
    </row>
    <row r="15">
      <c r="A15" s="37" t="s">
        <v>55</v>
      </c>
    </row>
    <row r="16">
      <c r="A16" s="27" t="s">
        <v>200</v>
      </c>
    </row>
    <row r="17">
      <c r="A17" s="27" t="s">
        <v>201</v>
      </c>
    </row>
    <row r="18">
      <c r="A18" s="27" t="s">
        <v>202</v>
      </c>
    </row>
    <row r="19">
      <c r="A19" s="27" t="s">
        <v>203</v>
      </c>
    </row>
  </sheetData>
  <dataValidations>
    <dataValidation type="list" allowBlank="1" sqref="E4:E13">
      <formula1>"Not started,Developing,Secure"</formula1>
    </dataValidation>
    <dataValidation type="list" allowBlank="1" showErrorMessage="1" sqref="C4:C13">
      <formula1>"SL,HL"</formula1>
    </dataValidation>
    <dataValidation allowBlank="1" showDropDown="1" sqref="A4:B13"/>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4.0"/>
    <col customWidth="1" min="3" max="3" width="15.88"/>
    <col customWidth="1" min="4" max="4" width="21.0"/>
    <col customWidth="1" min="5" max="5" width="21.25"/>
  </cols>
  <sheetData>
    <row r="1">
      <c r="A1" s="27" t="s">
        <v>204</v>
      </c>
    </row>
    <row r="2">
      <c r="A2" s="28"/>
      <c r="B2" s="28"/>
      <c r="C2" s="28"/>
      <c r="D2" s="28"/>
      <c r="E2" s="28"/>
    </row>
    <row r="3" ht="22.5" customHeight="1">
      <c r="A3" s="29" t="s">
        <v>22</v>
      </c>
      <c r="B3" s="29" t="s">
        <v>23</v>
      </c>
      <c r="C3" s="29" t="s">
        <v>24</v>
      </c>
      <c r="D3" s="29" t="s">
        <v>14</v>
      </c>
      <c r="E3" s="29" t="s">
        <v>25</v>
      </c>
    </row>
    <row r="4" ht="22.5" customHeight="1">
      <c r="A4" s="38" t="s">
        <v>205</v>
      </c>
      <c r="B4" s="38" t="s">
        <v>206</v>
      </c>
      <c r="C4" s="31" t="s">
        <v>32</v>
      </c>
      <c r="D4" s="32" t="b">
        <v>0</v>
      </c>
      <c r="E4" s="33" t="s">
        <v>29</v>
      </c>
    </row>
    <row r="5" ht="22.5" customHeight="1">
      <c r="A5" s="34"/>
      <c r="B5" s="38" t="s">
        <v>207</v>
      </c>
      <c r="C5" s="31" t="s">
        <v>32</v>
      </c>
      <c r="D5" s="32" t="b">
        <v>0</v>
      </c>
      <c r="E5" s="33" t="s">
        <v>29</v>
      </c>
    </row>
    <row r="6" ht="22.5" customHeight="1">
      <c r="A6" s="34"/>
      <c r="B6" s="38" t="s">
        <v>208</v>
      </c>
      <c r="C6" s="31" t="s">
        <v>32</v>
      </c>
      <c r="D6" s="35" t="b">
        <v>0</v>
      </c>
      <c r="E6" s="33" t="s">
        <v>29</v>
      </c>
    </row>
    <row r="7" ht="22.5" customHeight="1">
      <c r="A7" s="34"/>
      <c r="B7" s="38" t="s">
        <v>209</v>
      </c>
      <c r="C7" s="31" t="s">
        <v>32</v>
      </c>
      <c r="D7" s="35" t="b">
        <v>0</v>
      </c>
      <c r="E7" s="33" t="s">
        <v>29</v>
      </c>
    </row>
    <row r="8" ht="22.5" customHeight="1">
      <c r="A8" s="34"/>
      <c r="B8" s="38" t="s">
        <v>210</v>
      </c>
      <c r="C8" s="31" t="s">
        <v>32</v>
      </c>
      <c r="D8" s="35" t="b">
        <v>0</v>
      </c>
      <c r="E8" s="33" t="s">
        <v>29</v>
      </c>
    </row>
    <row r="9" ht="22.5" customHeight="1">
      <c r="A9" s="34"/>
      <c r="B9" s="38" t="s">
        <v>211</v>
      </c>
      <c r="C9" s="31" t="s">
        <v>32</v>
      </c>
      <c r="D9" s="35" t="b">
        <v>0</v>
      </c>
      <c r="E9" s="33" t="s">
        <v>29</v>
      </c>
    </row>
    <row r="10">
      <c r="C10" s="36"/>
    </row>
    <row r="11">
      <c r="A11" s="37" t="s">
        <v>140</v>
      </c>
    </row>
    <row r="12">
      <c r="A12" s="27" t="s">
        <v>212</v>
      </c>
    </row>
    <row r="13">
      <c r="A13" s="27" t="s">
        <v>213</v>
      </c>
    </row>
    <row r="14">
      <c r="A14" s="27" t="s">
        <v>214</v>
      </c>
    </row>
    <row r="15">
      <c r="A15" s="27" t="s">
        <v>215</v>
      </c>
    </row>
  </sheetData>
  <dataValidations>
    <dataValidation type="list" allowBlank="1" sqref="E4:E9">
      <formula1>"Not started,Developing,Secure"</formula1>
    </dataValidation>
    <dataValidation type="list" allowBlank="1" showErrorMessage="1" sqref="C4:C9">
      <formula1>"SL,HL"</formula1>
    </dataValidation>
    <dataValidation allowBlank="1" showDropDown="1" sqref="A4:B9"/>
  </dataValidations>
  <drawing r:id="rId1"/>
  <tableParts count="1">
    <tablePart r:id="rId3"/>
  </tableParts>
</worksheet>
</file>